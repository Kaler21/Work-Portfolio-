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4"/>
  <workbookPr showInkAnnotation="0" defaultThemeVersion="202300"/>
  <xr:revisionPtr revIDLastSave="0" documentId="8_{36BC4E7F-01E7-8048-9AD2-B6FE52C327EB}" xr6:coauthVersionLast="47" xr6:coauthVersionMax="47" xr10:uidLastSave="{00000000-0000-0000-0000-000000000000}"/>
  <bookViews>
    <workbookView xWindow="0" yWindow="0" windowWidth="0" windowHeight="0" xr2:uid="{00000000-000D-0000-FFFF-FFFF00000000}"/>
  </bookViews>
  <sheets>
    <sheet name="SalesData" sheetId="5" r:id="rId1"/>
    <sheet name="Sales (Brand)" sheetId="4" r:id="rId2"/>
    <sheet name="Ranking" sheetId="7" r:id="rId3"/>
    <sheet name="Main_" sheetId="1" r:id="rId4"/>
  </sheets>
  <calcPr calcId="191028"/>
  <pivotCaches>
    <pivotCache cacheId="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4" l="1"/>
  <c r="D1" i="4"/>
  <c r="I4" i="5"/>
  <c r="I5" i="5"/>
  <c r="I6" i="5"/>
  <c r="I7" i="5"/>
  <c r="I8" i="5"/>
  <c r="J4" i="5"/>
  <c r="J5" i="5"/>
  <c r="J6" i="5"/>
  <c r="J7" i="5"/>
  <c r="J8" i="5"/>
  <c r="K4" i="5"/>
  <c r="K5" i="5"/>
  <c r="K6" i="5"/>
  <c r="K7" i="5"/>
  <c r="K8" i="5"/>
  <c r="L4" i="5"/>
  <c r="L5" i="5"/>
  <c r="L6" i="5"/>
  <c r="L7" i="5"/>
  <c r="L8" i="5"/>
  <c r="H10" i="5" a="1"/>
  <c r="I15" i="5"/>
  <c r="J15" i="5"/>
  <c r="K15" i="5"/>
  <c r="L15" i="5"/>
  <c r="K12" i="7"/>
  <c r="K13" i="7"/>
  <c r="K14" i="7"/>
  <c r="K15" i="7"/>
  <c r="F13" i="7"/>
  <c r="F12" i="7"/>
  <c r="I16" i="7"/>
  <c r="F16" i="7"/>
  <c r="I15" i="7"/>
  <c r="I14" i="7"/>
  <c r="I13" i="7"/>
  <c r="I12" i="7"/>
  <c r="K11" i="7"/>
  <c r="K16" i="5"/>
  <c r="K17" i="5"/>
  <c r="H10"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<sst xmlns="http://schemas.openxmlformats.org/spreadsheetml/2006/main" count="3897" uniqueCount="525">
  <si>
    <t>record_id</t>
  </si>
  <si>
    <t>country</t>
  </si>
  <si>
    <t>region</t>
  </si>
  <si>
    <t>ev_brand</t>
  </si>
  <si>
    <t>vehicle_type</t>
  </si>
  <si>
    <t>ev_sales_units</t>
  </si>
  <si>
    <t>battery_capacity_kwh</t>
  </si>
  <si>
    <t>vehicle_range_km</t>
  </si>
  <si>
    <t>charging_time_hours</t>
  </si>
  <si>
    <t>charging_stations</t>
  </si>
  <si>
    <t>avg_ev_price_usd</t>
  </si>
  <si>
    <t>energy_consumption_kwh</t>
  </si>
  <si>
    <t>govt_incentives</t>
  </si>
  <si>
    <t>market_adoption_rate</t>
  </si>
  <si>
    <t>co2_reduction_mt</t>
  </si>
  <si>
    <t>year</t>
  </si>
  <si>
    <t>EV0001</t>
  </si>
  <si>
    <t>China</t>
  </si>
  <si>
    <t>Asia</t>
  </si>
  <si>
    <t>Mercedes</t>
  </si>
  <si>
    <t>Bus</t>
  </si>
  <si>
    <t>Yes</t>
  </si>
  <si>
    <t>EV0002</t>
  </si>
  <si>
    <t>Canada</t>
  </si>
  <si>
    <t>North America</t>
  </si>
  <si>
    <t>Hyundai</t>
  </si>
  <si>
    <t>Car</t>
  </si>
  <si>
    <t>EV0003</t>
  </si>
  <si>
    <t>Australia</t>
  </si>
  <si>
    <t>Oceania</t>
  </si>
  <si>
    <t>Ford</t>
  </si>
  <si>
    <t>EV0004</t>
  </si>
  <si>
    <t>Toyota</t>
  </si>
  <si>
    <t>EV0005</t>
  </si>
  <si>
    <t>SUV</t>
  </si>
  <si>
    <t>No</t>
  </si>
  <si>
    <t>EV0006</t>
  </si>
  <si>
    <t>Tesla</t>
  </si>
  <si>
    <t>Truck</t>
  </si>
  <si>
    <t>EV0007</t>
  </si>
  <si>
    <t>Germany</t>
  </si>
  <si>
    <t>Europe</t>
  </si>
  <si>
    <t>EV0008</t>
  </si>
  <si>
    <t>India</t>
  </si>
  <si>
    <t>Volkswagen</t>
  </si>
  <si>
    <t>EV0009</t>
  </si>
  <si>
    <t>BYD</t>
  </si>
  <si>
    <t>EV0010</t>
  </si>
  <si>
    <t>Nissan</t>
  </si>
  <si>
    <t>EV0011</t>
  </si>
  <si>
    <t>United States</t>
  </si>
  <si>
    <t>EV0012</t>
  </si>
  <si>
    <t>EV0013</t>
  </si>
  <si>
    <t>Norway</t>
  </si>
  <si>
    <t>EV0014</t>
  </si>
  <si>
    <t>EV0015</t>
  </si>
  <si>
    <t>France</t>
  </si>
  <si>
    <t>EV0016</t>
  </si>
  <si>
    <t>EV0017</t>
  </si>
  <si>
    <t>Kia</t>
  </si>
  <si>
    <t>EV0018</t>
  </si>
  <si>
    <t>EV0019</t>
  </si>
  <si>
    <t>United Kingdom</t>
  </si>
  <si>
    <t>EV0020</t>
  </si>
  <si>
    <t>EV0021</t>
  </si>
  <si>
    <t>EV0022</t>
  </si>
  <si>
    <t>EV0023</t>
  </si>
  <si>
    <t>Japan</t>
  </si>
  <si>
    <t>EV0024</t>
  </si>
  <si>
    <t>EV0025</t>
  </si>
  <si>
    <t>EV0026</t>
  </si>
  <si>
    <t>EV0027</t>
  </si>
  <si>
    <t>EV0028</t>
  </si>
  <si>
    <t>BMW</t>
  </si>
  <si>
    <t>EV0029</t>
  </si>
  <si>
    <t>EV0030</t>
  </si>
  <si>
    <t>EV0031</t>
  </si>
  <si>
    <t>EV0032</t>
  </si>
  <si>
    <t>EV0033</t>
  </si>
  <si>
    <t>EV0034</t>
  </si>
  <si>
    <t>EV0035</t>
  </si>
  <si>
    <t>EV0036</t>
  </si>
  <si>
    <t>EV0037</t>
  </si>
  <si>
    <t>EV0038</t>
  </si>
  <si>
    <t>EV0039</t>
  </si>
  <si>
    <t>EV0040</t>
  </si>
  <si>
    <t>EV0041</t>
  </si>
  <si>
    <t>EV0042</t>
  </si>
  <si>
    <t>EV0043</t>
  </si>
  <si>
    <t>EV0044</t>
  </si>
  <si>
    <t>EV0045</t>
  </si>
  <si>
    <t>EV0046</t>
  </si>
  <si>
    <t>EV0047</t>
  </si>
  <si>
    <t>EV0048</t>
  </si>
  <si>
    <t>EV0049</t>
  </si>
  <si>
    <t>EV0050</t>
  </si>
  <si>
    <t>EV0051</t>
  </si>
  <si>
    <t>EV0052</t>
  </si>
  <si>
    <t>EV0053</t>
  </si>
  <si>
    <t>EV0054</t>
  </si>
  <si>
    <t>EV0055</t>
  </si>
  <si>
    <t>EV0056</t>
  </si>
  <si>
    <t>EV0057</t>
  </si>
  <si>
    <t>EV0058</t>
  </si>
  <si>
    <t>EV0059</t>
  </si>
  <si>
    <t>EV0060</t>
  </si>
  <si>
    <t>EV0061</t>
  </si>
  <si>
    <t>EV0062</t>
  </si>
  <si>
    <t>EV0063</t>
  </si>
  <si>
    <t>EV0064</t>
  </si>
  <si>
    <t>EV0065</t>
  </si>
  <si>
    <t>EV0066</t>
  </si>
  <si>
    <t>EV0067</t>
  </si>
  <si>
    <t>EV0068</t>
  </si>
  <si>
    <t>EV0069</t>
  </si>
  <si>
    <t>EV0070</t>
  </si>
  <si>
    <t>EV0071</t>
  </si>
  <si>
    <t>EV0072</t>
  </si>
  <si>
    <t>EV0073</t>
  </si>
  <si>
    <t>EV0074</t>
  </si>
  <si>
    <t>EV0075</t>
  </si>
  <si>
    <t>EV0076</t>
  </si>
  <si>
    <t>EV0077</t>
  </si>
  <si>
    <t>EV0078</t>
  </si>
  <si>
    <t>EV0079</t>
  </si>
  <si>
    <t>EV0080</t>
  </si>
  <si>
    <t>EV0081</t>
  </si>
  <si>
    <t>EV0082</t>
  </si>
  <si>
    <t>EV0083</t>
  </si>
  <si>
    <t>EV0084</t>
  </si>
  <si>
    <t>EV0085</t>
  </si>
  <si>
    <t>EV0086</t>
  </si>
  <si>
    <t>EV0087</t>
  </si>
  <si>
    <t>EV0088</t>
  </si>
  <si>
    <t>EV0089</t>
  </si>
  <si>
    <t>EV0090</t>
  </si>
  <si>
    <t>EV0091</t>
  </si>
  <si>
    <t>EV0092</t>
  </si>
  <si>
    <t>EV0093</t>
  </si>
  <si>
    <t>EV0094</t>
  </si>
  <si>
    <t>EV0095</t>
  </si>
  <si>
    <t>EV0096</t>
  </si>
  <si>
    <t>EV0097</t>
  </si>
  <si>
    <t>EV0098</t>
  </si>
  <si>
    <t>EV0099</t>
  </si>
  <si>
    <t>EV0100</t>
  </si>
  <si>
    <t>EV0101</t>
  </si>
  <si>
    <t>EV0102</t>
  </si>
  <si>
    <t>EV0103</t>
  </si>
  <si>
    <t>EV0104</t>
  </si>
  <si>
    <t>EV0105</t>
  </si>
  <si>
    <t>EV0106</t>
  </si>
  <si>
    <t>EV0107</t>
  </si>
  <si>
    <t>EV0108</t>
  </si>
  <si>
    <t>EV0109</t>
  </si>
  <si>
    <t>EV0110</t>
  </si>
  <si>
    <t>EV0111</t>
  </si>
  <si>
    <t>EV0112</t>
  </si>
  <si>
    <t>EV0113</t>
  </si>
  <si>
    <t>EV0114</t>
  </si>
  <si>
    <t>EV0115</t>
  </si>
  <si>
    <t>EV0116</t>
  </si>
  <si>
    <t>EV0117</t>
  </si>
  <si>
    <t>EV0118</t>
  </si>
  <si>
    <t>EV0119</t>
  </si>
  <si>
    <t>EV0120</t>
  </si>
  <si>
    <t>EV0121</t>
  </si>
  <si>
    <t>EV0122</t>
  </si>
  <si>
    <t>EV0123</t>
  </si>
  <si>
    <t>EV0124</t>
  </si>
  <si>
    <t>EV0125</t>
  </si>
  <si>
    <t>EV0126</t>
  </si>
  <si>
    <t>EV0127</t>
  </si>
  <si>
    <t>EV0128</t>
  </si>
  <si>
    <t>EV0129</t>
  </si>
  <si>
    <t>EV0130</t>
  </si>
  <si>
    <t>EV0131</t>
  </si>
  <si>
    <t>EV0132</t>
  </si>
  <si>
    <t>EV0133</t>
  </si>
  <si>
    <t>EV0134</t>
  </si>
  <si>
    <t>EV0135</t>
  </si>
  <si>
    <t>EV0136</t>
  </si>
  <si>
    <t>EV0137</t>
  </si>
  <si>
    <t>EV0138</t>
  </si>
  <si>
    <t>EV0139</t>
  </si>
  <si>
    <t>EV0140</t>
  </si>
  <si>
    <t>EV0141</t>
  </si>
  <si>
    <t>EV0142</t>
  </si>
  <si>
    <t>EV0143</t>
  </si>
  <si>
    <t>EV0144</t>
  </si>
  <si>
    <t>EV0145</t>
  </si>
  <si>
    <t>EV0146</t>
  </si>
  <si>
    <t>EV0147</t>
  </si>
  <si>
    <t>EV0148</t>
  </si>
  <si>
    <t>EV0149</t>
  </si>
  <si>
    <t>EV0150</t>
  </si>
  <si>
    <t>EV0151</t>
  </si>
  <si>
    <t>EV0152</t>
  </si>
  <si>
    <t>EV0153</t>
  </si>
  <si>
    <t>EV0154</t>
  </si>
  <si>
    <t>EV0155</t>
  </si>
  <si>
    <t>EV0156</t>
  </si>
  <si>
    <t>EV0157</t>
  </si>
  <si>
    <t>EV0158</t>
  </si>
  <si>
    <t>EV0159</t>
  </si>
  <si>
    <t>EV0160</t>
  </si>
  <si>
    <t>EV0161</t>
  </si>
  <si>
    <t>EV0162</t>
  </si>
  <si>
    <t>EV0163</t>
  </si>
  <si>
    <t>EV0164</t>
  </si>
  <si>
    <t>EV0165</t>
  </si>
  <si>
    <t>EV0166</t>
  </si>
  <si>
    <t>EV0167</t>
  </si>
  <si>
    <t>EV0168</t>
  </si>
  <si>
    <t>EV0169</t>
  </si>
  <si>
    <t>EV0170</t>
  </si>
  <si>
    <t>EV0171</t>
  </si>
  <si>
    <t>EV0172</t>
  </si>
  <si>
    <t>EV0173</t>
  </si>
  <si>
    <t>EV0174</t>
  </si>
  <si>
    <t>EV0175</t>
  </si>
  <si>
    <t>EV0176</t>
  </si>
  <si>
    <t>EV0177</t>
  </si>
  <si>
    <t>EV0178</t>
  </si>
  <si>
    <t>EV0179</t>
  </si>
  <si>
    <t>EV0180</t>
  </si>
  <si>
    <t>EV0181</t>
  </si>
  <si>
    <t>EV0182</t>
  </si>
  <si>
    <t>EV0183</t>
  </si>
  <si>
    <t>EV0184</t>
  </si>
  <si>
    <t>EV0185</t>
  </si>
  <si>
    <t>EV0186</t>
  </si>
  <si>
    <t>EV0187</t>
  </si>
  <si>
    <t>EV0188</t>
  </si>
  <si>
    <t>EV0189</t>
  </si>
  <si>
    <t>EV0190</t>
  </si>
  <si>
    <t>EV0191</t>
  </si>
  <si>
    <t>EV0192</t>
  </si>
  <si>
    <t>EV0193</t>
  </si>
  <si>
    <t>EV0194</t>
  </si>
  <si>
    <t>EV0195</t>
  </si>
  <si>
    <t>EV0196</t>
  </si>
  <si>
    <t>EV0197</t>
  </si>
  <si>
    <t>EV0198</t>
  </si>
  <si>
    <t>EV0199</t>
  </si>
  <si>
    <t>EV0200</t>
  </si>
  <si>
    <t>EV0201</t>
  </si>
  <si>
    <t>EV0202</t>
  </si>
  <si>
    <t>EV0203</t>
  </si>
  <si>
    <t>EV0204</t>
  </si>
  <si>
    <t>EV0205</t>
  </si>
  <si>
    <t>EV0206</t>
  </si>
  <si>
    <t>EV0207</t>
  </si>
  <si>
    <t>EV0208</t>
  </si>
  <si>
    <t>EV0209</t>
  </si>
  <si>
    <t>EV0210</t>
  </si>
  <si>
    <t>EV0211</t>
  </si>
  <si>
    <t>EV0212</t>
  </si>
  <si>
    <t>EV0213</t>
  </si>
  <si>
    <t>EV0214</t>
  </si>
  <si>
    <t>EV0215</t>
  </si>
  <si>
    <t>EV0216</t>
  </si>
  <si>
    <t>EV0217</t>
  </si>
  <si>
    <t>EV0218</t>
  </si>
  <si>
    <t>EV0219</t>
  </si>
  <si>
    <t>EV0220</t>
  </si>
  <si>
    <t>EV0221</t>
  </si>
  <si>
    <t>EV0222</t>
  </si>
  <si>
    <t>EV0223</t>
  </si>
  <si>
    <t>EV0224</t>
  </si>
  <si>
    <t>EV0225</t>
  </si>
  <si>
    <t>EV0226</t>
  </si>
  <si>
    <t>EV0227</t>
  </si>
  <si>
    <t>EV0228</t>
  </si>
  <si>
    <t>EV0229</t>
  </si>
  <si>
    <t>EV0230</t>
  </si>
  <si>
    <t>EV0231</t>
  </si>
  <si>
    <t>EV0232</t>
  </si>
  <si>
    <t>EV0233</t>
  </si>
  <si>
    <t>EV0234</t>
  </si>
  <si>
    <t>EV0235</t>
  </si>
  <si>
    <t>EV0236</t>
  </si>
  <si>
    <t>EV0237</t>
  </si>
  <si>
    <t>EV0238</t>
  </si>
  <si>
    <t>EV0239</t>
  </si>
  <si>
    <t>EV0240</t>
  </si>
  <si>
    <t>EV0241</t>
  </si>
  <si>
    <t>EV0242</t>
  </si>
  <si>
    <t>EV0243</t>
  </si>
  <si>
    <t>EV0244</t>
  </si>
  <si>
    <t>EV0245</t>
  </si>
  <si>
    <t>EV0246</t>
  </si>
  <si>
    <t>EV0247</t>
  </si>
  <si>
    <t>EV0248</t>
  </si>
  <si>
    <t>EV0249</t>
  </si>
  <si>
    <t>EV0250</t>
  </si>
  <si>
    <t>EV0251</t>
  </si>
  <si>
    <t>EV0252</t>
  </si>
  <si>
    <t>EV0253</t>
  </si>
  <si>
    <t>EV0254</t>
  </si>
  <si>
    <t>EV0255</t>
  </si>
  <si>
    <t>EV0256</t>
  </si>
  <si>
    <t>EV0257</t>
  </si>
  <si>
    <t>EV0258</t>
  </si>
  <si>
    <t>EV0259</t>
  </si>
  <si>
    <t>EV0260</t>
  </si>
  <si>
    <t>EV0261</t>
  </si>
  <si>
    <t>EV0262</t>
  </si>
  <si>
    <t>EV0263</t>
  </si>
  <si>
    <t>EV0264</t>
  </si>
  <si>
    <t>EV0265</t>
  </si>
  <si>
    <t>EV0266</t>
  </si>
  <si>
    <t>EV0267</t>
  </si>
  <si>
    <t>EV0268</t>
  </si>
  <si>
    <t>EV0269</t>
  </si>
  <si>
    <t>EV0270</t>
  </si>
  <si>
    <t>EV0271</t>
  </si>
  <si>
    <t>EV0272</t>
  </si>
  <si>
    <t>EV0273</t>
  </si>
  <si>
    <t>EV0274</t>
  </si>
  <si>
    <t>EV0275</t>
  </si>
  <si>
    <t>EV0276</t>
  </si>
  <si>
    <t>EV0277</t>
  </si>
  <si>
    <t>EV0278</t>
  </si>
  <si>
    <t>EV0279</t>
  </si>
  <si>
    <t>EV0280</t>
  </si>
  <si>
    <t>EV0281</t>
  </si>
  <si>
    <t>EV0282</t>
  </si>
  <si>
    <t>EV0283</t>
  </si>
  <si>
    <t>EV0284</t>
  </si>
  <si>
    <t>EV0285</t>
  </si>
  <si>
    <t>EV0286</t>
  </si>
  <si>
    <t>EV0287</t>
  </si>
  <si>
    <t>EV0288</t>
  </si>
  <si>
    <t>EV0289</t>
  </si>
  <si>
    <t>EV0290</t>
  </si>
  <si>
    <t>EV0291</t>
  </si>
  <si>
    <t>EV0292</t>
  </si>
  <si>
    <t>EV0293</t>
  </si>
  <si>
    <t>EV0294</t>
  </si>
  <si>
    <t>EV0295</t>
  </si>
  <si>
    <t>EV0296</t>
  </si>
  <si>
    <t>EV0297</t>
  </si>
  <si>
    <t>EV0298</t>
  </si>
  <si>
    <t>EV0299</t>
  </si>
  <si>
    <t>EV0300</t>
  </si>
  <si>
    <t>EV0301</t>
  </si>
  <si>
    <t>EV0302</t>
  </si>
  <si>
    <t>EV0303</t>
  </si>
  <si>
    <t>EV0304</t>
  </si>
  <si>
    <t>EV0305</t>
  </si>
  <si>
    <t>EV0306</t>
  </si>
  <si>
    <t>EV0307</t>
  </si>
  <si>
    <t>EV0308</t>
  </si>
  <si>
    <t>EV0309</t>
  </si>
  <si>
    <t>EV0310</t>
  </si>
  <si>
    <t>EV0311</t>
  </si>
  <si>
    <t>EV0312</t>
  </si>
  <si>
    <t>EV0313</t>
  </si>
  <si>
    <t>EV0314</t>
  </si>
  <si>
    <t>EV0315</t>
  </si>
  <si>
    <t>EV0316</t>
  </si>
  <si>
    <t>EV0317</t>
  </si>
  <si>
    <t>EV0318</t>
  </si>
  <si>
    <t>EV0319</t>
  </si>
  <si>
    <t>EV0320</t>
  </si>
  <si>
    <t>EV0321</t>
  </si>
  <si>
    <t>EV0322</t>
  </si>
  <si>
    <t>EV0323</t>
  </si>
  <si>
    <t>EV0324</t>
  </si>
  <si>
    <t>EV0325</t>
  </si>
  <si>
    <t>EV0326</t>
  </si>
  <si>
    <t>EV0327</t>
  </si>
  <si>
    <t>EV0328</t>
  </si>
  <si>
    <t>EV0329</t>
  </si>
  <si>
    <t>EV0330</t>
  </si>
  <si>
    <t>EV0331</t>
  </si>
  <si>
    <t>EV0332</t>
  </si>
  <si>
    <t>EV0333</t>
  </si>
  <si>
    <t>EV0334</t>
  </si>
  <si>
    <t>EV0335</t>
  </si>
  <si>
    <t>EV0336</t>
  </si>
  <si>
    <t>EV0337</t>
  </si>
  <si>
    <t>EV0338</t>
  </si>
  <si>
    <t>EV0339</t>
  </si>
  <si>
    <t>EV0340</t>
  </si>
  <si>
    <t>EV0341</t>
  </si>
  <si>
    <t>EV0342</t>
  </si>
  <si>
    <t>EV0343</t>
  </si>
  <si>
    <t>EV0344</t>
  </si>
  <si>
    <t>EV0345</t>
  </si>
  <si>
    <t>EV0346</t>
  </si>
  <si>
    <t>EV0347</t>
  </si>
  <si>
    <t>EV0348</t>
  </si>
  <si>
    <t>EV0349</t>
  </si>
  <si>
    <t>EV0350</t>
  </si>
  <si>
    <t>EV0351</t>
  </si>
  <si>
    <t>EV0352</t>
  </si>
  <si>
    <t>EV0353</t>
  </si>
  <si>
    <t>EV0354</t>
  </si>
  <si>
    <t>EV0355</t>
  </si>
  <si>
    <t>EV0356</t>
  </si>
  <si>
    <t>EV0357</t>
  </si>
  <si>
    <t>EV0358</t>
  </si>
  <si>
    <t>EV0359</t>
  </si>
  <si>
    <t>EV0360</t>
  </si>
  <si>
    <t>EV0361</t>
  </si>
  <si>
    <t>EV0362</t>
  </si>
  <si>
    <t>EV0363</t>
  </si>
  <si>
    <t>EV0364</t>
  </si>
  <si>
    <t>EV0365</t>
  </si>
  <si>
    <t>EV0366</t>
  </si>
  <si>
    <t>EV0367</t>
  </si>
  <si>
    <t>EV0368</t>
  </si>
  <si>
    <t>EV0369</t>
  </si>
  <si>
    <t>EV0370</t>
  </si>
  <si>
    <t>EV0371</t>
  </si>
  <si>
    <t>EV0372</t>
  </si>
  <si>
    <t>EV0373</t>
  </si>
  <si>
    <t>EV0374</t>
  </si>
  <si>
    <t>EV0375</t>
  </si>
  <si>
    <t>EV0376</t>
  </si>
  <si>
    <t>EV0377</t>
  </si>
  <si>
    <t>EV0378</t>
  </si>
  <si>
    <t>EV0379</t>
  </si>
  <si>
    <t>EV0380</t>
  </si>
  <si>
    <t>EV0381</t>
  </si>
  <si>
    <t>EV0382</t>
  </si>
  <si>
    <t>EV0383</t>
  </si>
  <si>
    <t>EV0384</t>
  </si>
  <si>
    <t>EV0385</t>
  </si>
  <si>
    <t>EV0386</t>
  </si>
  <si>
    <t>EV0387</t>
  </si>
  <si>
    <t>EV0388</t>
  </si>
  <si>
    <t>EV0389</t>
  </si>
  <si>
    <t>EV0390</t>
  </si>
  <si>
    <t>EV0391</t>
  </si>
  <si>
    <t>EV0392</t>
  </si>
  <si>
    <t>EV0393</t>
  </si>
  <si>
    <t>EV0394</t>
  </si>
  <si>
    <t>EV0395</t>
  </si>
  <si>
    <t>EV0396</t>
  </si>
  <si>
    <t>EV0397</t>
  </si>
  <si>
    <t>EV0398</t>
  </si>
  <si>
    <t>EV0399</t>
  </si>
  <si>
    <t>EV0400</t>
  </si>
  <si>
    <t>EV0401</t>
  </si>
  <si>
    <t>EV0402</t>
  </si>
  <si>
    <t>EV0403</t>
  </si>
  <si>
    <t>EV0404</t>
  </si>
  <si>
    <t>EV0405</t>
  </si>
  <si>
    <t>EV0406</t>
  </si>
  <si>
    <t>EV0407</t>
  </si>
  <si>
    <t>EV0408</t>
  </si>
  <si>
    <t>EV0409</t>
  </si>
  <si>
    <t>EV0410</t>
  </si>
  <si>
    <t>EV0411</t>
  </si>
  <si>
    <t>EV0412</t>
  </si>
  <si>
    <t>EV0413</t>
  </si>
  <si>
    <t>EV0414</t>
  </si>
  <si>
    <t>EV0415</t>
  </si>
  <si>
    <t>EV0416</t>
  </si>
  <si>
    <t>EV0417</t>
  </si>
  <si>
    <t>EV0418</t>
  </si>
  <si>
    <t>Grand Total</t>
  </si>
  <si>
    <t>Sum of ev_sales_units</t>
  </si>
  <si>
    <t>max</t>
  </si>
  <si>
    <t>min</t>
  </si>
  <si>
    <t>Suv</t>
  </si>
  <si>
    <t>Revenue according to Region, Vehicle Type</t>
  </si>
  <si>
    <t>Region/VehicleType</t>
  </si>
  <si>
    <t xml:space="preserve">Regional Sales </t>
  </si>
  <si>
    <t>count</t>
  </si>
  <si>
    <t xml:space="preserve">     </t>
  </si>
  <si>
    <t>TotalSales of Vehicle Type</t>
  </si>
  <si>
    <t xml:space="preserve"> Total Sales of Region</t>
  </si>
  <si>
    <t>MaxSales_Vehicle</t>
  </si>
  <si>
    <t>MixSales_Vehicle</t>
  </si>
  <si>
    <t>90th Percentile</t>
  </si>
  <si>
    <t>80th Percentile</t>
  </si>
  <si>
    <t>50th Percentile</t>
  </si>
  <si>
    <t>25th Percentile</t>
  </si>
  <si>
    <t>10th Percentile</t>
  </si>
  <si>
    <t>C10+C11</t>
  </si>
  <si>
    <t>C9+C10</t>
  </si>
  <si>
    <t>C1+C2</t>
  </si>
  <si>
    <t>C6</t>
  </si>
  <si>
    <t>C3</t>
  </si>
  <si>
    <t>Using the PERCENTILE function </t>
  </si>
  <si>
    <t>This allows me to set k = all values below the set percentile/total values * 100</t>
  </si>
  <si>
    <t>Array, Percentile</t>
  </si>
  <si>
    <t>Array,Percentile</t>
  </si>
  <si>
    <t>Formula</t>
  </si>
  <si>
    <t>In this example, I will show k = percentile(itself)</t>
  </si>
  <si>
    <t>PercentileFunction</t>
  </si>
  <si>
    <t>RANK</t>
  </si>
  <si>
    <t>Column</t>
  </si>
  <si>
    <t>K</t>
  </si>
  <si>
    <t>Manual Scores</t>
  </si>
  <si>
    <t>Function</t>
  </si>
  <si>
    <t>The Excel PERCENTILE function calculates the "kth percentile" for a set of data. A percentile is a value below which a given percentage of values in a data set fall. A percentile calculated with .4 as k means 40% percent of values are less than or equal to the calculated result, a percentile calculated with k = .9 means 90% percent of values are less than or equal to the calculated result.</t>
  </si>
  <si>
    <t>FInding Percentile(model data)</t>
  </si>
  <si>
    <t>total values*greater or equal to the calculated results according to ranking(12*K)</t>
  </si>
  <si>
    <t>market is distilled with options</t>
  </si>
  <si>
    <t>business continuity</t>
  </si>
  <si>
    <t>existence subsidies/new entry</t>
  </si>
  <si>
    <t xml:space="preserve">managers with paculiar knowledge </t>
  </si>
  <si>
    <t>consumer behavior - Americas</t>
  </si>
  <si>
    <t>Upcoming Cars in the Market - opportunity/threat matrix(units)</t>
  </si>
  <si>
    <t>Comments:</t>
  </si>
  <si>
    <t>trade-in</t>
  </si>
  <si>
    <t>low</t>
  </si>
  <si>
    <t>high</t>
  </si>
  <si>
    <t>Outside factors- Manufacturing of Electric grid (sourcing)</t>
  </si>
  <si>
    <t xml:space="preserve">This market penetration is customer-centric to their taste with outside factors to their buying behavior such as inflation, availability, and manufactures. On a GDP level, there are endless participation in modern energy, renewable incentives, and knowledge in the electric grid. America's GDP will operate as the singular component for customer behavior in energy as their GDP of energy buys is increasing and  greater than 3% compared to other countries. </t>
  </si>
  <si>
    <t>Sum of EV_Sales_Units</t>
  </si>
  <si>
    <t>0</t>
  </si>
  <si>
    <t>Buy-in:</t>
  </si>
  <si>
    <t>Knowledge in this area:</t>
  </si>
  <si>
    <t>This data is owned by data.gov</t>
  </si>
  <si>
    <t>If there are deflations for trade-ins due to user-income and power to buy these cars, it would be depended on pricing and social impact</t>
  </si>
  <si>
    <t>For further analysis on Manufacturing and sourcing for car pricing, I believe a marketing analysis would be suffice by recommended cost-drivers of batteries, car parts, and ultimately the alternatives for them. Is the business manager going to approach to small amount of buyers or introduce it to wide audience.</t>
  </si>
  <si>
    <t>website:</t>
  </si>
  <si>
    <t>https://www.bea.gov/sites/default/files/2026-04/hist4q25-3rd.pdf</t>
  </si>
  <si>
    <t>https://www.epa.gov/greenvehicles/electric-vehicle-myths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</si>
</sst>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13" x14ac:knownFonts="1">
    <font>
      <sz val="11"/>
      <color theme="1"/>
      <name val="Aptos Narrow"/>
      <family val="2"/>
      <scheme val="minor"/>
    </font>
    <font>
      <sz val="11"/>
      <color rgb="FF000000"/>
      <name val="Calibri"/>
      <family val="2"/>
    </font>
    <font>
      <sz val="11"/>
      <color theme="0" tint="-0.89999084444715716"/>
      <name val="Aptos Narrow"/>
      <family val="2"/>
      <scheme val="minor"/>
    </font>
    <font>
      <sz val="11"/>
      <color theme="0"/>
      <name val="Aptos Narrow"/>
      <family val="2"/>
      <scheme val="minor"/>
    </font>
    <font>
      <b/>
      <sz val="11"/>
      <color theme="1"/>
      <name val="Aptos Narrow"/>
      <family val="2"/>
      <scheme val="minor"/>
    </font>
    <font>
      <sz val="6"/>
      <name val="Yu Gothic"/>
      <family val="2"/>
      <charset val="128"/>
    </font>
    <font>
      <b/>
      <sz val="18"/>
      <color theme="1"/>
      <name val="Aptos Narrow"/>
      <family val="2"/>
      <scheme val="minor"/>
    </font>
    <font>
      <sz val="10"/>
      <color rgb="FF000000"/>
      <name val="Arial"/>
      <family val="18"/>
    </font>
    <font>
      <u/>
      <sz val="11"/>
      <color theme="10"/>
      <name val="Aptos Narrow"/>
      <family val="2"/>
      <scheme val="minor"/>
    </font>
    <font>
      <b/>
      <sz val="12"/>
      <color theme="1"/>
      <name val="Aptos Narrow"/>
      <family val="2"/>
      <scheme val="minor"/>
    </font>
    <font>
      <b/>
      <sz val="13"/>
      <color theme="1"/>
      <name val="Aptos Narrow"/>
      <family val="2"/>
      <scheme val="minor"/>
    </font>
    <font>
      <b/>
      <sz val="13"/>
      <color theme="0" tint="-9.9978637043366805E-2"/>
      <name val="Aptos Narrow"/>
      <family val="2"/>
      <scheme val="minor"/>
    </font>
    <font>
      <b/>
      <sz val="12"/>
      <color theme="0" tint="-9.9978637043366805E-2"/>
      <name val="Aptos Narrow"/>
      <family val="2"/>
      <scheme val="minor"/>
    </font>
  </fonts>
  <fills count="7">
    <fill>
      <patternFill patternType="none"/>
    </fill>
    <fill>
      <patternFill patternType="gray125"/>
    </fill>
    <fill>
      <patternFill patternType="solid">
        <fgColor theme="5" tint="-0.499984740745262"/>
        <bgColor indexed="64"/>
      </patternFill>
    </fill>
    <fill>
      <patternFill patternType="solid">
        <fgColor theme="5" tint="0.59999389629810485"/>
        <bgColor indexed="64"/>
      </patternFill>
    </fill>
    <fill>
      <patternFill patternType="solid">
        <fgColor rgb="FFC04425"/>
        <bgColor indexed="64"/>
      </patternFill>
    </fill>
    <fill>
      <patternFill patternType="solid">
        <fgColor theme="6" tint="0.59999389629810485"/>
        <bgColor indexed="64"/>
      </patternFill>
    </fill>
    <fill>
      <patternFill patternType="solid">
        <fgColor theme="1"/>
        <bgColor indexed="64"/>
      </patternFill>
    </fill>
  </fills>
  <borders count="14">
    <border>
      <left/>
      <right/>
      <top/>
      <bottom/>
      <diagonal/>
    </border>
    <border>
      <left/>
      <right/>
      <top style="thin">
        <color theme="5" tint="-0.499984740745262"/>
      </top>
      <bottom style="medium">
        <color theme="5" tint="-0.499984740745262"/>
      </bottom>
      <diagonal/>
    </border>
    <border>
      <left style="thin">
        <color rgb="FF505050"/>
      </left>
      <right/>
      <top style="thin">
        <color rgb="FF505050"/>
      </top>
      <bottom style="thin">
        <color rgb="FF505050"/>
      </bottom>
      <diagonal/>
    </border>
    <border>
      <left/>
      <right/>
      <top style="thin">
        <color rgb="FF505050"/>
      </top>
      <bottom style="thin">
        <color rgb="FF505050"/>
      </bottom>
      <diagonal/>
    </border>
    <border>
      <left/>
      <right style="thin">
        <color rgb="FF505050"/>
      </right>
      <top style="thin">
        <color rgb="FF505050"/>
      </top>
      <bottom style="thin">
        <color rgb="FF505050"/>
      </bottom>
      <diagonal/>
    </border>
    <border>
      <left/>
      <right/>
      <top style="thin">
        <color rgb="FF505050"/>
      </top>
      <bottom/>
      <diagonal/>
    </border>
    <border>
      <left style="medium">
        <color rgb="FF505050"/>
      </left>
      <right/>
      <top style="medium">
        <color rgb="FF505050"/>
      </top>
      <bottom/>
      <diagonal/>
    </border>
    <border>
      <left/>
      <right/>
      <top style="medium">
        <color rgb="FF505050"/>
      </top>
      <bottom/>
      <diagonal/>
    </border>
    <border>
      <left/>
      <right style="medium">
        <color rgb="FF505050"/>
      </right>
      <top style="medium">
        <color rgb="FF505050"/>
      </top>
      <bottom/>
      <diagonal/>
    </border>
    <border>
      <left style="medium">
        <color rgb="FF505050"/>
      </left>
      <right/>
      <top/>
      <bottom/>
      <diagonal/>
    </border>
    <border>
      <left/>
      <right style="medium">
        <color rgb="FF505050"/>
      </right>
      <top/>
      <bottom/>
      <diagonal/>
    </border>
    <border>
      <left style="medium">
        <color rgb="FF505050"/>
      </left>
      <right/>
      <top/>
      <bottom style="medium">
        <color rgb="FF505050"/>
      </bottom>
      <diagonal/>
    </border>
    <border>
      <left/>
      <right/>
      <top/>
      <bottom style="medium">
        <color rgb="FF505050"/>
      </bottom>
      <diagonal/>
    </border>
    <border>
      <left/>
      <right style="medium">
        <color rgb="FF505050"/>
      </right>
      <top/>
      <bottom style="medium">
        <color rgb="FF505050"/>
      </bottom>
      <diagonal/>
    </border>
  </borders>
  <cellStyleXfs count="2">
    <xf numFmtId="0" fontId="0" fillId="0" borderId="0"/>
    <xf numFmtId="0" fontId="8" fillId="0" borderId="0" applyNumberFormat="0" applyFill="0" applyBorder="0" applyAlignment="0" applyProtection="0"/>
  </cellStyleXfs>
  <cellXfs count="44">
    <xf numFmtId="0" fontId="0" fillId="0" borderId="0" xfId="0"/>
    <xf numFmtId="0" fontId="1" fillId="0" borderId="0" xfId="0" applyFont="1" applyBorder="1" applyAlignment="1">
      <alignment wrapText="1"/>
    </xf>
    <xf numFmtId="0" fontId="0" fillId="0" borderId="0" xfId="0" pivotButton="1"/>
    <xf numFmtId="164" fontId="0" fillId="0" borderId="0" xfId="0" applyNumberFormat="1"/>
    <xf numFmtId="0" fontId="2" fillId="0" borderId="0" xfId="0" applyFont="1"/>
    <xf numFmtId="164" fontId="2" fillId="0" borderId="0" xfId="0" applyNumberFormat="1" applyFont="1"/>
    <xf numFmtId="0" fontId="0" fillId="0" borderId="0" xfId="0" applyAlignment="1">
      <alignment horizontal="center"/>
    </xf>
    <xf numFmtId="0" fontId="3" fillId="2" borderId="0" xfId="0" applyFont="1" applyFill="1"/>
    <xf numFmtId="0" fontId="0" fillId="3" borderId="0" xfId="0" applyFill="1"/>
    <xf numFmtId="164" fontId="0" fillId="3" borderId="0" xfId="0" applyNumberFormat="1" applyFill="1"/>
    <xf numFmtId="0" fontId="4" fillId="0" borderId="1" xfId="0" applyFont="1" applyBorder="1"/>
    <xf numFmtId="164" fontId="4" fillId="0" borderId="1" xfId="0" applyNumberFormat="1" applyFont="1" applyBorder="1"/>
    <xf numFmtId="0" fontId="4" fillId="0" borderId="0" xfId="0" applyFont="1"/>
    <xf numFmtId="4" fontId="0" fillId="0" borderId="0" xfId="0" applyNumberFormat="1"/>
    <xf numFmtId="0" fontId="6" fillId="0" borderId="0" xfId="0" applyFont="1" applyAlignment="1">
      <alignment wrapText="1"/>
    </xf>
    <xf numFmtId="0" fontId="0" fillId="0" borderId="0" xfId="0" applyAlignment="1">
      <alignment wrapText="1"/>
    </xf>
    <xf numFmtId="0" fontId="7" fillId="0" borderId="0" xfId="0" applyFont="1" applyAlignment="1">
      <alignment wrapText="1"/>
    </xf>
    <xf numFmtId="0" fontId="9" fillId="0" borderId="0" xfId="0" applyFont="1" applyAlignment="1">
      <alignment wrapText="1"/>
    </xf>
    <xf numFmtId="0" fontId="11" fillId="6" borderId="0" xfId="0" applyFont="1" applyFill="1" applyAlignment="1">
      <alignment horizontal="left" wrapText="1"/>
    </xf>
    <xf numFmtId="0" fontId="12" fillId="6" borderId="0" xfId="0" applyFont="1" applyFill="1" applyAlignment="1">
      <alignment wrapText="1"/>
    </xf>
    <xf numFmtId="0" fontId="9" fillId="0" borderId="0" xfId="0" applyFont="1"/>
    <xf numFmtId="0" fontId="0" fillId="4" borderId="0" xfId="0" applyFill="1" applyBorder="1"/>
    <xf numFmtId="0" fontId="0" fillId="0" borderId="0" xfId="0" applyBorder="1"/>
    <xf numFmtId="0" fontId="0" fillId="0" borderId="9" xfId="0" applyBorder="1"/>
    <xf numFmtId="0" fontId="0" fillId="5" borderId="10" xfId="0" applyFill="1" applyBorder="1"/>
    <xf numFmtId="0" fontId="0" fillId="0" borderId="9" xfId="0" applyBorder="1" applyAlignment="1">
      <alignment wrapText="1"/>
    </xf>
    <xf numFmtId="0" fontId="0" fillId="0" borderId="10" xfId="0" applyBorder="1"/>
    <xf numFmtId="0" fontId="0" fillId="0" borderId="11" xfId="0" applyBorder="1" applyAlignment="1">
      <alignment wrapText="1"/>
    </xf>
    <xf numFmtId="0" fontId="0" fillId="0" borderId="12" xfId="0" applyBorder="1"/>
    <xf numFmtId="0" fontId="0" fillId="0" borderId="13" xfId="0" applyBorder="1"/>
    <xf numFmtId="0" fontId="8" fillId="0" borderId="0" xfId="1"/>
    <xf numFmtId="0" fontId="3" fillId="2" borderId="0" xfId="0" applyFont="1" applyFill="1" applyAlignment="1">
      <alignment horizontal="center"/>
    </xf>
    <xf numFmtId="0" fontId="0" fillId="0" borderId="0" xfId="0" applyAlignment="1">
      <alignment horizontal="center"/>
    </xf>
    <xf numFmtId="0" fontId="10" fillId="0" borderId="6" xfId="0" applyFont="1" applyBorder="1" applyAlignment="1">
      <alignment horizontal="left"/>
    </xf>
    <xf numFmtId="0" fontId="10" fillId="0" borderId="7"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wrapText="1"/>
    </xf>
    <xf numFmtId="0" fontId="10" fillId="0" borderId="0" xfId="0" applyFont="1" applyBorder="1" applyAlignment="1">
      <alignment horizontal="left" wrapText="1"/>
    </xf>
    <xf numFmtId="0" fontId="10" fillId="0" borderId="10" xfId="0" applyFont="1" applyBorder="1" applyAlignment="1">
      <alignment horizontal="left" wrapText="1"/>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0" fillId="0" borderId="5" xfId="0" applyBorder="1" applyAlignment="1">
      <alignment horizontal="center"/>
    </xf>
    <xf numFmtId="0" fontId="4" fillId="0" borderId="0" xfId="0" applyFont="1" applyAlignment="1">
      <alignment horizontal="center"/>
    </xf>
  </cellXfs>
  <cellStyles count="2">
    <cellStyle name="Hyperlink" xfId="1" builtinId="8"/>
    <cellStyle name="Normal" xfId="0" builtinId="0"/>
  </cellStyles>
  <dxfs count="39">
    <dxf>
      <font>
        <color rgb="FF9C0006"/>
      </font>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9C0006"/>
      </font>
      <fill>
        <patternFill patternType="solid">
          <bgColor rgb="FFFFC7CE"/>
        </patternFill>
      </fill>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dxf>
    <dxf>
      <numFmt numFmtId="164" formatCode="[$$-409]#,##0.00"/>
    </dxf>
    <dxf>
      <alignment horizontal="center" vertical="bottom" textRotation="0" wrapText="0" indent="0" justifyLastLine="0" shrinkToFit="0" readingOrder="0"/>
    </dxf>
    <dxf>
      <font>
        <b val="0"/>
        <i val="0"/>
        <strike val="0"/>
        <condense val="0"/>
        <extend val="0"/>
        <outline val="0"/>
        <shadow val="0"/>
        <u val="none"/>
        <vertAlign val="baseline"/>
        <sz val="11"/>
        <color theme="0" tint="-0.89999084444715716"/>
        <name val="Aptos Narrow"/>
        <family val="2"/>
        <scheme val="minor"/>
      </font>
      <numFmt numFmtId="164" formatCode="[$$-409]#,##0.00"/>
    </dxf>
    <dxf>
      <font>
        <color theme="0" tint="-0.89999084444715716"/>
      </font>
      <numFmt numFmtId="164" formatCode="[$$-409]#,##0.00"/>
    </dxf>
    <dxf>
      <font>
        <b val="0"/>
        <i val="0"/>
        <strike val="0"/>
        <condense val="0"/>
        <extend val="0"/>
        <outline val="0"/>
        <shadow val="0"/>
        <u val="none"/>
        <vertAlign val="baseline"/>
        <sz val="11"/>
        <color theme="0" tint="-0.89999084444715716"/>
        <name val="Aptos Narrow"/>
        <family val="2"/>
        <scheme val="minor"/>
      </font>
      <numFmt numFmtId="164" formatCode="[$$-409]#,##0.00"/>
    </dxf>
    <dxf>
      <font>
        <color theme="0" tint="-0.89999084444715716"/>
      </font>
      <numFmt numFmtId="164" formatCode="[$$-409]#,##0.00"/>
    </dxf>
    <dxf>
      <font>
        <b val="0"/>
        <i val="0"/>
        <strike val="0"/>
        <condense val="0"/>
        <extend val="0"/>
        <outline val="0"/>
        <shadow val="0"/>
        <u val="none"/>
        <vertAlign val="baseline"/>
        <sz val="11"/>
        <color theme="0" tint="-0.89999084444715716"/>
        <name val="Aptos Narrow"/>
        <family val="2"/>
        <scheme val="minor"/>
      </font>
      <numFmt numFmtId="164" formatCode="[$$-409]#,##0.00"/>
    </dxf>
    <dxf>
      <font>
        <color theme="0" tint="-0.89999084444715716"/>
      </font>
      <numFmt numFmtId="164" formatCode="[$$-409]#,##0.00"/>
    </dxf>
    <dxf>
      <font>
        <b val="0"/>
        <i val="0"/>
        <strike val="0"/>
        <condense val="0"/>
        <extend val="0"/>
        <outline val="0"/>
        <shadow val="0"/>
        <u val="none"/>
        <vertAlign val="baseline"/>
        <sz val="11"/>
        <color theme="0" tint="-0.89999084444715716"/>
        <name val="Aptos Narrow"/>
        <family val="2"/>
        <scheme val="minor"/>
      </font>
      <numFmt numFmtId="164" formatCode="[$$-409]#,##0.00"/>
    </dxf>
    <dxf>
      <font>
        <color theme="0" tint="-0.89999084444715716"/>
      </font>
      <numFmt numFmtId="164" formatCode="[$$-409]#,##0.00"/>
    </dxf>
    <dxf>
      <font>
        <b val="0"/>
        <i val="0"/>
        <strike val="0"/>
        <condense val="0"/>
        <extend val="0"/>
        <outline val="0"/>
        <shadow val="0"/>
        <u val="none"/>
        <vertAlign val="baseline"/>
        <sz val="11"/>
        <color theme="0" tint="-0.89999084444715716"/>
        <name val="Aptos Narrow"/>
        <family val="2"/>
        <scheme val="minor"/>
      </font>
    </dxf>
    <dxf>
      <font>
        <color theme="0" tint="-0.89999084444715716"/>
      </font>
    </dxf>
    <dxf>
      <font>
        <color theme="0" tint="-0.89999084444715716"/>
      </font>
    </dxf>
    <dxf>
      <font>
        <color theme="0" tint="-0.89999084444715716"/>
      </font>
    </dxf>
    <dxf>
      <numFmt numFmtId="164" formatCode="[$$-409]#,##0.00"/>
    </dxf>
    <dxf>
      <numFmt numFmtId="164" formatCode="[$$-409]#,##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 Total Sales of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doughnutChart>
        <c:varyColors val="1"/>
        <c:ser>
          <c:idx val="0"/>
          <c:order val="0"/>
          <c:tx>
            <c:strRef>
              <c:f>SalesData!$H$15</c:f>
              <c:strCache>
                <c:ptCount val="1"/>
                <c:pt idx="0">
                  <c:v> Total Sales of Region</c:v>
                </c:pt>
              </c:strCache>
            </c:strRef>
          </c:tx>
          <c:dPt>
            <c:idx val="0"/>
            <c:bubble3D val="0"/>
            <c:spPr>
              <a:solidFill>
                <a:schemeClr val="accent2"/>
              </a:solidFill>
              <a:ln>
                <a:noFill/>
              </a:ln>
              <a:effectLst>
                <a:outerShdw blurRad="317500" algn="ctr" rotWithShape="0">
                  <a:prstClr val="black">
                    <a:alpha val="25000"/>
                  </a:prstClr>
                </a:outerShdw>
              </a:effectLst>
            </c:spPr>
          </c:dPt>
          <c:dPt>
            <c:idx val="1"/>
            <c:bubble3D val="0"/>
            <c:spPr>
              <a:solidFill>
                <a:schemeClr val="accent4"/>
              </a:solidFill>
              <a:ln>
                <a:noFill/>
              </a:ln>
              <a:effectLst>
                <a:outerShdw blurRad="317500" algn="ctr" rotWithShape="0">
                  <a:prstClr val="black">
                    <a:alpha val="25000"/>
                  </a:prstClr>
                </a:outerShdw>
              </a:effectLst>
            </c:spPr>
          </c:dPt>
          <c:dPt>
            <c:idx val="2"/>
            <c:bubble3D val="0"/>
            <c:spPr>
              <a:solidFill>
                <a:schemeClr val="accent6"/>
              </a:solidFill>
              <a:ln>
                <a:noFill/>
              </a:ln>
              <a:effectLst>
                <a:outerShdw blurRad="317500" algn="ctr" rotWithShape="0">
                  <a:prstClr val="black">
                    <a:alpha val="25000"/>
                  </a:prstClr>
                </a:outerShdw>
              </a:effectLst>
            </c:spPr>
          </c:dPt>
          <c:dPt>
            <c:idx val="3"/>
            <c:bubble3D val="0"/>
            <c:spPr>
              <a:solidFill>
                <a:schemeClr val="accent2">
                  <a:lumMod val="6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SalesData!$I$15:$L$15</c:f>
              <c:numCache>
                <c:formatCode>[$$-409]#,##0.00</c:formatCode>
                <c:ptCount val="4"/>
                <c:pt idx="0">
                  <c:v>62272774</c:v>
                </c:pt>
                <c:pt idx="1">
                  <c:v>39477367</c:v>
                </c:pt>
                <c:pt idx="2">
                  <c:v>19980760</c:v>
                </c:pt>
                <c:pt idx="3">
                  <c:v>66391140</c:v>
                </c:pt>
              </c:numCache>
            </c:numRef>
          </c:val>
          <c:extLst>
            <c:ext xmlns:c16="http://schemas.microsoft.com/office/drawing/2014/chart" uri="{C3380CC4-5D6E-409C-BE32-E72D297353CC}">
              <c16:uniqueId val="{00000016-C064-D945-8B37-3999B0F19E4C}"/>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doughnutChart>
        <c:varyColors val="1"/>
        <c:ser>
          <c:idx val="0"/>
          <c:order val="0"/>
          <c:tx>
            <c:strRef>
              <c:f>SalesData!$H$8</c:f>
              <c:strCache>
                <c:ptCount val="1"/>
                <c:pt idx="0">
                  <c:v>TotalSales of Vehicle Type</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SalesData!$I$8:$L$8</c:f>
              <c:numCache>
                <c:formatCode>[$$-409]#,##0.00</c:formatCode>
                <c:ptCount val="4"/>
                <c:pt idx="0">
                  <c:v>45149517</c:v>
                </c:pt>
                <c:pt idx="1">
                  <c:v>53264606</c:v>
                </c:pt>
                <c:pt idx="2">
                  <c:v>43627338</c:v>
                </c:pt>
                <c:pt idx="3">
                  <c:v>46080580</c:v>
                </c:pt>
              </c:numCache>
            </c:numRef>
          </c:val>
          <c:extLst>
            <c:ext xmlns:c16="http://schemas.microsoft.com/office/drawing/2014/chart" uri="{C3380CC4-5D6E-409C-BE32-E72D297353CC}">
              <c16:uniqueId val="{0000000A-E2A8-7942-B920-F25B4CE337AE}"/>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Car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2"/>
            </a:solidFill>
            <a:ln>
              <a:noFill/>
            </a:ln>
            <a:effectLst/>
          </c:spPr>
          <c:invertIfNegative val="0"/>
          <c:cat>
            <c:strRef>
              <c:f>'Sales (Brand)'!$A$2:$A$11</c:f>
              <c:strCache>
                <c:ptCount val="10"/>
                <c:pt idx="0">
                  <c:v>BMW</c:v>
                </c:pt>
                <c:pt idx="1">
                  <c:v>BYD</c:v>
                </c:pt>
                <c:pt idx="2">
                  <c:v>Ford</c:v>
                </c:pt>
                <c:pt idx="3">
                  <c:v>Hyundai</c:v>
                </c:pt>
                <c:pt idx="4">
                  <c:v>Kia</c:v>
                </c:pt>
                <c:pt idx="5">
                  <c:v>Mercedes</c:v>
                </c:pt>
                <c:pt idx="6">
                  <c:v>Nissan</c:v>
                </c:pt>
                <c:pt idx="7">
                  <c:v>Tesla</c:v>
                </c:pt>
                <c:pt idx="8">
                  <c:v>Toyota</c:v>
                </c:pt>
                <c:pt idx="9">
                  <c:v>Volkswagen</c:v>
                </c:pt>
              </c:strCache>
            </c:strRef>
          </c:cat>
          <c:val>
            <c:numRef>
              <c:f>'Sales (Brand)'!$B$2:$B$11</c:f>
              <c:numCache>
                <c:formatCode>[$$-409]#,##0.00</c:formatCode>
                <c:ptCount val="10"/>
                <c:pt idx="0">
                  <c:v>15051238</c:v>
                </c:pt>
                <c:pt idx="1">
                  <c:v>24304893</c:v>
                </c:pt>
                <c:pt idx="2">
                  <c:v>17176376</c:v>
                </c:pt>
                <c:pt idx="3">
                  <c:v>11969097</c:v>
                </c:pt>
                <c:pt idx="4">
                  <c:v>23605806</c:v>
                </c:pt>
                <c:pt idx="5">
                  <c:v>16650805</c:v>
                </c:pt>
                <c:pt idx="6">
                  <c:v>23056718</c:v>
                </c:pt>
                <c:pt idx="7">
                  <c:v>18735158</c:v>
                </c:pt>
                <c:pt idx="8">
                  <c:v>16595462</c:v>
                </c:pt>
                <c:pt idx="9">
                  <c:v>20976488</c:v>
                </c:pt>
              </c:numCache>
            </c:numRef>
          </c:val>
          <c:extLst>
            <c:ext xmlns:c16="http://schemas.microsoft.com/office/drawing/2014/chart" uri="{C3380CC4-5D6E-409C-BE32-E72D297353CC}">
              <c16:uniqueId val="{00000000-2AB5-C14F-8E0B-487DE33131D5}"/>
            </c:ext>
          </c:extLst>
        </c:ser>
        <c:dLbls>
          <c:showLegendKey val="0"/>
          <c:showVal val="0"/>
          <c:showCatName val="0"/>
          <c:showSerName val="0"/>
          <c:showPercent val="0"/>
          <c:showBubbleSize val="0"/>
        </c:dLbls>
        <c:gapWidth val="219"/>
        <c:overlap val="-27"/>
        <c:axId val="1266577664"/>
        <c:axId val="1266573632"/>
      </c:barChart>
      <c:catAx>
        <c:axId val="126657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73632"/>
        <c:crosses val="autoZero"/>
        <c:auto val="1"/>
        <c:lblAlgn val="ctr"/>
        <c:lblOffset val="100"/>
        <c:noMultiLvlLbl val="0"/>
      </c:catAx>
      <c:valAx>
        <c:axId val="126657363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77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'Sales (Brand)'!$A$2:$A$11</c:f>
              <c:strCache>
                <c:ptCount val="10"/>
                <c:pt idx="0">
                  <c:v>BMW</c:v>
                </c:pt>
                <c:pt idx="1">
                  <c:v>BYD</c:v>
                </c:pt>
                <c:pt idx="2">
                  <c:v>Ford</c:v>
                </c:pt>
                <c:pt idx="3">
                  <c:v>Hyundai</c:v>
                </c:pt>
                <c:pt idx="4">
                  <c:v>Kia</c:v>
                </c:pt>
                <c:pt idx="5">
                  <c:v>Mercedes</c:v>
                </c:pt>
                <c:pt idx="6">
                  <c:v>Nissan</c:v>
                </c:pt>
                <c:pt idx="7">
                  <c:v>Tesla</c:v>
                </c:pt>
                <c:pt idx="8">
                  <c:v>Toyota</c:v>
                </c:pt>
                <c:pt idx="9">
                  <c:v>Volkswagen</c:v>
                </c:pt>
              </c:strCache>
            </c:strRef>
          </c:cat>
          <c:val>
            <c:numRef>
              <c:f>'Sales (Brand)'!$B$2:$B$11</c:f>
              <c:numCache>
                <c:formatCode>[$$-409]#,##0.00</c:formatCode>
                <c:ptCount val="10"/>
                <c:pt idx="0">
                  <c:v>15051238</c:v>
                </c:pt>
                <c:pt idx="1">
                  <c:v>24304893</c:v>
                </c:pt>
                <c:pt idx="2">
                  <c:v>17176376</c:v>
                </c:pt>
                <c:pt idx="3">
                  <c:v>11969097</c:v>
                </c:pt>
                <c:pt idx="4">
                  <c:v>23605806</c:v>
                </c:pt>
                <c:pt idx="5">
                  <c:v>16650805</c:v>
                </c:pt>
                <c:pt idx="6">
                  <c:v>23056718</c:v>
                </c:pt>
                <c:pt idx="7">
                  <c:v>18735158</c:v>
                </c:pt>
                <c:pt idx="8">
                  <c:v>16595462</c:v>
                </c:pt>
                <c:pt idx="9">
                  <c:v>20976488</c:v>
                </c:pt>
              </c:numCache>
            </c:numRef>
          </c:val>
          <c:extLst>
            <c:ext xmlns:c16="http://schemas.microsoft.com/office/drawing/2014/chart" uri="{C3380CC4-5D6E-409C-BE32-E72D297353CC}">
              <c16:uniqueId val="{00000001-FA1B-FA41-B091-7764845C42BB}"/>
            </c:ext>
          </c:extLst>
        </c:ser>
        <c:dLbls>
          <c:showLegendKey val="0"/>
          <c:showVal val="0"/>
          <c:showCatName val="0"/>
          <c:showSerName val="0"/>
          <c:showPercent val="0"/>
          <c:showBubbleSize val="0"/>
        </c:dLbls>
        <c:gapWidth val="219"/>
        <c:overlap val="-27"/>
        <c:axId val="1266577664"/>
        <c:axId val="1266573632"/>
      </c:barChart>
      <c:catAx>
        <c:axId val="126657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73632"/>
        <c:crosses val="autoZero"/>
        <c:auto val="1"/>
        <c:lblAlgn val="ctr"/>
        <c:lblOffset val="100"/>
        <c:noMultiLvlLbl val="0"/>
      </c:catAx>
      <c:valAx>
        <c:axId val="1266573632"/>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6577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788984</xdr:colOff>
      <xdr:row>25</xdr:row>
      <xdr:rowOff>155937</xdr:rowOff>
    </xdr:from>
    <xdr:to>
      <xdr:col>19</xdr:col>
      <xdr:colOff>187850</xdr:colOff>
      <xdr:row>43</xdr:row>
      <xdr:rowOff>185523</xdr:rowOff>
    </xdr:to>
    <xdr:grpSp>
      <xdr:nvGrpSpPr>
        <xdr:cNvPr id="7" name="Group 6">
          <a:extLst>
            <a:ext uri="{FF2B5EF4-FFF2-40B4-BE49-F238E27FC236}">
              <a16:creationId xmlns:a16="http://schemas.microsoft.com/office/drawing/2014/main" id="{736DD9B2-86BD-7B20-658E-7C7151818F7C}"/>
            </a:ext>
          </a:extLst>
        </xdr:cNvPr>
        <xdr:cNvGrpSpPr/>
      </xdr:nvGrpSpPr>
      <xdr:grpSpPr>
        <a:xfrm>
          <a:off x="7051061" y="5050322"/>
          <a:ext cx="15127327" cy="3546509"/>
          <a:chOff x="6831950" y="5298739"/>
          <a:chExt cx="13096723" cy="3420905"/>
        </a:xfrm>
      </xdr:grpSpPr>
      <xdr:sp macro="" textlink="">
        <xdr:nvSpPr>
          <xdr:cNvPr id="3" name="Rectangle 2">
            <a:extLst>
              <a:ext uri="{FF2B5EF4-FFF2-40B4-BE49-F238E27FC236}">
                <a16:creationId xmlns:a16="http://schemas.microsoft.com/office/drawing/2014/main" id="{F4811D71-A768-0B54-B64F-23CBEA95808F}"/>
              </a:ext>
            </a:extLst>
          </xdr:cNvPr>
          <xdr:cNvSpPr/>
        </xdr:nvSpPr>
        <xdr:spPr>
          <a:xfrm>
            <a:off x="6831950" y="5298739"/>
            <a:ext cx="13096723" cy="342090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800" b="0" i="0" u="none" strike="noStrike">
                <a:solidFill>
                  <a:srgbClr val="000000"/>
                </a:solidFill>
                <a:effectLst/>
                <a:latin typeface="Aptos Narrow" panose="020B0004020202020204" pitchFamily="34" charset="0"/>
              </a:rPr>
              <a:t>Scorecard</a:t>
            </a:r>
            <a:r>
              <a:rPr lang="en-US">
                <a:effectLst/>
              </a:rPr>
              <a:t> </a:t>
            </a:r>
            <a:r>
              <a:rPr lang="en-US">
                <a:solidFill>
                  <a:schemeClr val="tx1"/>
                </a:solidFill>
                <a:effectLst/>
              </a:rPr>
              <a:t>solved datasets for different tacticals in different regions</a:t>
            </a:r>
          </a:p>
          <a:p>
            <a:pPr algn="l"/>
            <a:endParaRPr lang="en-US"/>
          </a:p>
        </xdr:txBody>
      </xdr:sp>
      <xdr:graphicFrame macro="">
        <xdr:nvGraphicFramePr>
          <xdr:cNvPr id="5" name="Chart 4">
            <a:extLst>
              <a:ext uri="{FF2B5EF4-FFF2-40B4-BE49-F238E27FC236}">
                <a16:creationId xmlns:a16="http://schemas.microsoft.com/office/drawing/2014/main" id="{87E5357A-607F-D0AC-FCD5-986E1811EDF4}"/>
              </a:ext>
            </a:extLst>
          </xdr:cNvPr>
          <xdr:cNvGraphicFramePr/>
        </xdr:nvGraphicFramePr>
        <xdr:xfrm>
          <a:off x="7010399" y="5875495"/>
          <a:ext cx="4605496" cy="274775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3DF52D17-CADA-785A-FF6F-4441CB587D03}"/>
              </a:ext>
            </a:extLst>
          </xdr:cNvPr>
          <xdr:cNvGraphicFramePr/>
        </xdr:nvGraphicFramePr>
        <xdr:xfrm>
          <a:off x="11772851" y="5889451"/>
          <a:ext cx="3160115" cy="2737477"/>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2" name="Chart 1">
            <a:extLst>
              <a:ext uri="{FF2B5EF4-FFF2-40B4-BE49-F238E27FC236}">
                <a16:creationId xmlns:a16="http://schemas.microsoft.com/office/drawing/2014/main" id="{B3F86710-96CE-3D43-A424-791C1D84FF62}"/>
              </a:ext>
            </a:extLst>
          </xdr:cNvPr>
          <xdr:cNvGraphicFramePr>
            <a:graphicFrameLocks/>
          </xdr:cNvGraphicFramePr>
        </xdr:nvGraphicFramePr>
        <xdr:xfrm>
          <a:off x="15045825" y="5903406"/>
          <a:ext cx="4743194" cy="2707473"/>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342900</xdr:colOff>
      <xdr:row>0</xdr:row>
      <xdr:rowOff>0</xdr:rowOff>
    </xdr:from>
    <xdr:to>
      <xdr:col>12</xdr:col>
      <xdr:colOff>38100</xdr:colOff>
      <xdr:row>13</xdr:row>
      <xdr:rowOff>63500</xdr:rowOff>
    </xdr:to>
    <xdr:graphicFrame macro="">
      <xdr:nvGraphicFramePr>
        <xdr:cNvPr id="4" name="Chart 3">
          <a:extLst>
            <a:ext uri="{FF2B5EF4-FFF2-40B4-BE49-F238E27FC236}">
              <a16:creationId xmlns:a16="http://schemas.microsoft.com/office/drawing/2014/main" id="{A61F7EFA-DEE5-BBF7-BB45-F1E23520C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XLNext Device" refreshedDate="46097.716763078701" createdVersion="8" refreshedVersion="8" minRefreshableVersion="3" recordCount="418" xr:uid="{F302D46A-439D-DF42-BF1D-DE89F429631A}">
  <cacheSource type="worksheet">
    <worksheetSource name="Table2" sheet="Main_"/>
  </cacheSource>
  <cacheFields count="16">
    <cacheField name="record_id" numFmtId="0">
      <sharedItems count="418">
        <s v="EV0001"/>
        <s v="EV0002"/>
        <s v="EV0003"/>
        <s v="EV0004"/>
        <s v="EV0005"/>
        <s v="EV0006"/>
        <s v="EV0007"/>
        <s v="EV0008"/>
        <s v="EV0009"/>
        <s v="EV0010"/>
        <s v="EV0011"/>
        <s v="EV0012"/>
        <s v="EV0013"/>
        <s v="EV0014"/>
        <s v="EV0015"/>
        <s v="EV0016"/>
        <s v="EV0017"/>
        <s v="EV0018"/>
        <s v="EV0019"/>
        <s v="EV0020"/>
        <s v="EV0021"/>
        <s v="EV0022"/>
        <s v="EV0023"/>
        <s v="EV0024"/>
        <s v="EV0025"/>
        <s v="EV0026"/>
        <s v="EV0027"/>
        <s v="EV0028"/>
        <s v="EV0029"/>
        <s v="EV0030"/>
        <s v="EV0031"/>
        <s v="EV0032"/>
        <s v="EV0033"/>
        <s v="EV0034"/>
        <s v="EV0035"/>
        <s v="EV0036"/>
        <s v="EV0037"/>
        <s v="EV0038"/>
        <s v="EV0039"/>
        <s v="EV0040"/>
        <s v="EV0041"/>
        <s v="EV0042"/>
        <s v="EV0043"/>
        <s v="EV0044"/>
        <s v="EV0045"/>
        <s v="EV0046"/>
        <s v="EV0047"/>
        <s v="EV0048"/>
        <s v="EV0049"/>
        <s v="EV0050"/>
        <s v="EV0051"/>
        <s v="EV0052"/>
        <s v="EV0053"/>
        <s v="EV0054"/>
        <s v="EV0055"/>
        <s v="EV0056"/>
        <s v="EV0057"/>
        <s v="EV0058"/>
        <s v="EV0059"/>
        <s v="EV0060"/>
        <s v="EV0061"/>
        <s v="EV0062"/>
        <s v="EV0063"/>
        <s v="EV0064"/>
        <s v="EV0065"/>
        <s v="EV0066"/>
        <s v="EV0067"/>
        <s v="EV0068"/>
        <s v="EV0069"/>
        <s v="EV0070"/>
        <s v="EV0071"/>
        <s v="EV0072"/>
        <s v="EV0073"/>
        <s v="EV0074"/>
        <s v="EV0075"/>
        <s v="EV0076"/>
        <s v="EV0077"/>
        <s v="EV0078"/>
        <s v="EV0079"/>
        <s v="EV0080"/>
        <s v="EV0081"/>
        <s v="EV0082"/>
        <s v="EV0083"/>
        <s v="EV0084"/>
        <s v="EV0085"/>
        <s v="EV0086"/>
        <s v="EV0087"/>
        <s v="EV0088"/>
        <s v="EV0089"/>
        <s v="EV0090"/>
        <s v="EV0091"/>
        <s v="EV0092"/>
        <s v="EV0093"/>
        <s v="EV0094"/>
        <s v="EV0095"/>
        <s v="EV0096"/>
        <s v="EV0097"/>
        <s v="EV0098"/>
        <s v="EV0099"/>
        <s v="EV0100"/>
        <s v="EV0101"/>
        <s v="EV0102"/>
        <s v="EV0103"/>
        <s v="EV0104"/>
        <s v="EV0105"/>
        <s v="EV0106"/>
        <s v="EV0107"/>
        <s v="EV0108"/>
        <s v="EV0109"/>
        <s v="EV0110"/>
        <s v="EV0111"/>
        <s v="EV0112"/>
        <s v="EV0113"/>
        <s v="EV0114"/>
        <s v="EV0115"/>
        <s v="EV0116"/>
        <s v="EV0117"/>
        <s v="EV0118"/>
        <s v="EV0119"/>
        <s v="EV0120"/>
        <s v="EV0121"/>
        <s v="EV0122"/>
        <s v="EV0123"/>
        <s v="EV0124"/>
        <s v="EV0125"/>
        <s v="EV0126"/>
        <s v="EV0127"/>
        <s v="EV0128"/>
        <s v="EV0129"/>
        <s v="EV0130"/>
        <s v="EV0131"/>
        <s v="EV0132"/>
        <s v="EV0133"/>
        <s v="EV0134"/>
        <s v="EV0135"/>
        <s v="EV0136"/>
        <s v="EV0137"/>
        <s v="EV0138"/>
        <s v="EV0139"/>
        <s v="EV0140"/>
        <s v="EV0141"/>
        <s v="EV0142"/>
        <s v="EV0143"/>
        <s v="EV0144"/>
        <s v="EV0145"/>
        <s v="EV0146"/>
        <s v="EV0147"/>
        <s v="EV0148"/>
        <s v="EV0149"/>
        <s v="EV0150"/>
        <s v="EV0151"/>
        <s v="EV0152"/>
        <s v="EV0153"/>
        <s v="EV0154"/>
        <s v="EV0155"/>
        <s v="EV0156"/>
        <s v="EV0157"/>
        <s v="EV0158"/>
        <s v="EV0159"/>
        <s v="EV0160"/>
        <s v="EV0161"/>
        <s v="EV0162"/>
        <s v="EV0163"/>
        <s v="EV0164"/>
        <s v="EV0165"/>
        <s v="EV0166"/>
        <s v="EV0167"/>
        <s v="EV0168"/>
        <s v="EV0169"/>
        <s v="EV0170"/>
        <s v="EV0171"/>
        <s v="EV0172"/>
        <s v="EV0173"/>
        <s v="EV0174"/>
        <s v="EV0175"/>
        <s v="EV0176"/>
        <s v="EV0177"/>
        <s v="EV0178"/>
        <s v="EV0179"/>
        <s v="EV0180"/>
        <s v="EV0181"/>
        <s v="EV0182"/>
        <s v="EV0183"/>
        <s v="EV0184"/>
        <s v="EV0185"/>
        <s v="EV0186"/>
        <s v="EV0187"/>
        <s v="EV0188"/>
        <s v="EV0189"/>
        <s v="EV0190"/>
        <s v="EV0191"/>
        <s v="EV0192"/>
        <s v="EV0193"/>
        <s v="EV0194"/>
        <s v="EV0195"/>
        <s v="EV0196"/>
        <s v="EV0197"/>
        <s v="EV0198"/>
        <s v="EV0199"/>
        <s v="EV0200"/>
        <s v="EV0201"/>
        <s v="EV0202"/>
        <s v="EV0203"/>
        <s v="EV0204"/>
        <s v="EV0205"/>
        <s v="EV0206"/>
        <s v="EV0207"/>
        <s v="EV0208"/>
        <s v="EV0209"/>
        <s v="EV0210"/>
        <s v="EV0211"/>
        <s v="EV0212"/>
        <s v="EV0213"/>
        <s v="EV0214"/>
        <s v="EV0215"/>
        <s v="EV0216"/>
        <s v="EV0217"/>
        <s v="EV0218"/>
        <s v="EV0219"/>
        <s v="EV0220"/>
        <s v="EV0221"/>
        <s v="EV0222"/>
        <s v="EV0223"/>
        <s v="EV0224"/>
        <s v="EV0225"/>
        <s v="EV0226"/>
        <s v="EV0227"/>
        <s v="EV0228"/>
        <s v="EV0229"/>
        <s v="EV0230"/>
        <s v="EV0231"/>
        <s v="EV0232"/>
        <s v="EV0233"/>
        <s v="EV0234"/>
        <s v="EV0235"/>
        <s v="EV0236"/>
        <s v="EV0237"/>
        <s v="EV0238"/>
        <s v="EV0239"/>
        <s v="EV0240"/>
        <s v="EV0241"/>
        <s v="EV0242"/>
        <s v="EV0243"/>
        <s v="EV0244"/>
        <s v="EV0245"/>
        <s v="EV0246"/>
        <s v="EV0247"/>
        <s v="EV0248"/>
        <s v="EV0249"/>
        <s v="EV0250"/>
        <s v="EV0251"/>
        <s v="EV0252"/>
        <s v="EV0253"/>
        <s v="EV0254"/>
        <s v="EV0255"/>
        <s v="EV0256"/>
        <s v="EV0257"/>
        <s v="EV0258"/>
        <s v="EV0259"/>
        <s v="EV0260"/>
        <s v="EV0261"/>
        <s v="EV0262"/>
        <s v="EV0263"/>
        <s v="EV0264"/>
        <s v="EV0265"/>
        <s v="EV0266"/>
        <s v="EV0267"/>
        <s v="EV0268"/>
        <s v="EV0269"/>
        <s v="EV0270"/>
        <s v="EV0271"/>
        <s v="EV0272"/>
        <s v="EV0273"/>
        <s v="EV0274"/>
        <s v="EV0275"/>
        <s v="EV0276"/>
        <s v="EV0277"/>
        <s v="EV0278"/>
        <s v="EV0279"/>
        <s v="EV0280"/>
        <s v="EV0281"/>
        <s v="EV0282"/>
        <s v="EV0283"/>
        <s v="EV0284"/>
        <s v="EV0285"/>
        <s v="EV0286"/>
        <s v="EV0287"/>
        <s v="EV0288"/>
        <s v="EV0289"/>
        <s v="EV0290"/>
        <s v="EV0291"/>
        <s v="EV0292"/>
        <s v="EV0293"/>
        <s v="EV0294"/>
        <s v="EV0295"/>
        <s v="EV0296"/>
        <s v="EV0297"/>
        <s v="EV0298"/>
        <s v="EV0299"/>
        <s v="EV0300"/>
        <s v="EV0301"/>
        <s v="EV0302"/>
        <s v="EV0303"/>
        <s v="EV0304"/>
        <s v="EV0305"/>
        <s v="EV0306"/>
        <s v="EV0307"/>
        <s v="EV0308"/>
        <s v="EV0309"/>
        <s v="EV0310"/>
        <s v="EV0311"/>
        <s v="EV0312"/>
        <s v="EV0313"/>
        <s v="EV0314"/>
        <s v="EV0315"/>
        <s v="EV0316"/>
        <s v="EV0317"/>
        <s v="EV0318"/>
        <s v="EV0319"/>
        <s v="EV0320"/>
        <s v="EV0321"/>
        <s v="EV0322"/>
        <s v="EV0323"/>
        <s v="EV0324"/>
        <s v="EV0325"/>
        <s v="EV0326"/>
        <s v="EV0327"/>
        <s v="EV0328"/>
        <s v="EV0329"/>
        <s v="EV0330"/>
        <s v="EV0331"/>
        <s v="EV0332"/>
        <s v="EV0333"/>
        <s v="EV0334"/>
        <s v="EV0335"/>
        <s v="EV0336"/>
        <s v="EV0337"/>
        <s v="EV0338"/>
        <s v="EV0339"/>
        <s v="EV0340"/>
        <s v="EV0341"/>
        <s v="EV0342"/>
        <s v="EV0343"/>
        <s v="EV0344"/>
        <s v="EV0345"/>
        <s v="EV0346"/>
        <s v="EV0347"/>
        <s v="EV0348"/>
        <s v="EV0349"/>
        <s v="EV0350"/>
        <s v="EV0351"/>
        <s v="EV0352"/>
        <s v="EV0353"/>
        <s v="EV0354"/>
        <s v="EV0355"/>
        <s v="EV0356"/>
        <s v="EV0357"/>
        <s v="EV0358"/>
        <s v="EV0359"/>
        <s v="EV0360"/>
        <s v="EV0361"/>
        <s v="EV0362"/>
        <s v="EV0363"/>
        <s v="EV0364"/>
        <s v="EV0365"/>
        <s v="EV0366"/>
        <s v="EV0367"/>
        <s v="EV0368"/>
        <s v="EV0369"/>
        <s v="EV0370"/>
        <s v="EV0371"/>
        <s v="EV0372"/>
        <s v="EV0373"/>
        <s v="EV0374"/>
        <s v="EV0375"/>
        <s v="EV0376"/>
        <s v="EV0377"/>
        <s v="EV0378"/>
        <s v="EV0379"/>
        <s v="EV0380"/>
        <s v="EV0381"/>
        <s v="EV0382"/>
        <s v="EV0383"/>
        <s v="EV0384"/>
        <s v="EV0385"/>
        <s v="EV0386"/>
        <s v="EV0387"/>
        <s v="EV0388"/>
        <s v="EV0389"/>
        <s v="EV0390"/>
        <s v="EV0391"/>
        <s v="EV0392"/>
        <s v="EV0393"/>
        <s v="EV0394"/>
        <s v="EV0395"/>
        <s v="EV0396"/>
        <s v="EV0397"/>
        <s v="EV0398"/>
        <s v="EV0399"/>
        <s v="EV0400"/>
        <s v="EV0401"/>
        <s v="EV0402"/>
        <s v="EV0403"/>
        <s v="EV0404"/>
        <s v="EV0405"/>
        <s v="EV0406"/>
        <s v="EV0407"/>
        <s v="EV0408"/>
        <s v="EV0409"/>
        <s v="EV0410"/>
        <s v="EV0411"/>
        <s v="EV0412"/>
        <s v="EV0413"/>
        <s v="EV0414"/>
        <s v="EV0415"/>
        <s v="EV0416"/>
        <s v="EV0417"/>
        <s v="EV0418"/>
      </sharedItems>
    </cacheField>
    <cacheField name="country" numFmtId="0">
      <sharedItems/>
    </cacheField>
    <cacheField name="region" numFmtId="0">
      <sharedItems count="4">
        <s v="Asia"/>
        <s v="North America"/>
        <s v="Oceania"/>
        <s v="Europe"/>
      </sharedItems>
    </cacheField>
    <cacheField name="ev_brand" numFmtId="0">
      <sharedItems count="10">
        <s v="Mercedes"/>
        <s v="Hyundai"/>
        <s v="Ford"/>
        <s v="Toyota"/>
        <s v="Tesla"/>
        <s v="Volkswagen"/>
        <s v="BYD"/>
        <s v="Nissan"/>
        <s v="Kia"/>
        <s v="BMW"/>
      </sharedItems>
    </cacheField>
    <cacheField name="vehicle_type" numFmtId="0">
      <sharedItems count="4">
        <s v="Bus"/>
        <s v="Car"/>
        <s v="SUV"/>
        <s v="Truck"/>
      </sharedItems>
    </cacheField>
    <cacheField name="ev_sales_units" numFmtId="0">
      <sharedItems containsSemiMixedTypes="0" containsString="0" containsNumber="1" containsInteger="1" minValue="6711" maxValue="898372"/>
    </cacheField>
    <cacheField name="battery_capacity_kwh" numFmtId="0">
      <sharedItems containsSemiMixedTypes="0" containsString="0" containsNumber="1" containsInteger="1" minValue="40" maxValue="120"/>
    </cacheField>
    <cacheField name="vehicle_range_km" numFmtId="0">
      <sharedItems containsSemiMixedTypes="0" containsString="0" containsNumber="1" containsInteger="1" minValue="250" maxValue="650"/>
    </cacheField>
    <cacheField name="charging_time_hours" numFmtId="0">
      <sharedItems containsSemiMixedTypes="0" containsString="0" containsNumber="1" minValue="0.51" maxValue="2.99"/>
    </cacheField>
    <cacheField name="charging_stations" numFmtId="0">
      <sharedItems containsSemiMixedTypes="0" containsString="0" containsNumber="1" containsInteger="1" minValue="616" maxValue="199733"/>
    </cacheField>
    <cacheField name="avg_ev_price_usd" numFmtId="0">
      <sharedItems containsSemiMixedTypes="0" containsString="0" containsNumber="1" containsInteger="1" minValue="25221" maxValue="84946"/>
    </cacheField>
    <cacheField name="energy_consumption_kwh" numFmtId="0">
      <sharedItems containsSemiMixedTypes="0" containsString="0" containsNumber="1" minValue="12" maxValue="25"/>
    </cacheField>
    <cacheField name="govt_incentives" numFmtId="0">
      <sharedItems/>
    </cacheField>
    <cacheField name="market_adoption_rate" numFmtId="0">
      <sharedItems containsSemiMixedTypes="0" containsString="0" containsNumber="1" minValue="5.4" maxValue="64.8"/>
    </cacheField>
    <cacheField name="co2_reduction_mt" numFmtId="0">
      <sharedItems containsSemiMixedTypes="0" containsString="0" containsNumber="1" minValue="6.2" maxValue="299.5"/>
    </cacheField>
    <cacheField name="year" numFmtId="0">
      <sharedItems containsSemiMixedTypes="0" containsString="0" containsNumber="1" containsInteger="1" minValue="2026" maxValue="20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x v="0"/>
    <s v="China"/>
    <x v="0"/>
    <x v="0"/>
    <x v="0"/>
    <n v="459155"/>
    <n v="42"/>
    <n v="285"/>
    <n v="1.21"/>
    <n v="127224"/>
    <n v="77023"/>
    <n v="17.7"/>
    <s v="Yes"/>
    <n v="32.9"/>
    <n v="255.9"/>
    <n v="2026"/>
  </r>
  <r>
    <x v="1"/>
    <s v="Canada"/>
    <x v="1"/>
    <x v="1"/>
    <x v="1"/>
    <n v="722074"/>
    <n v="50"/>
    <n v="330"/>
    <n v="0.52"/>
    <n v="112274"/>
    <n v="69502"/>
    <n v="23.3"/>
    <s v="Yes"/>
    <n v="60.1"/>
    <n v="155.1"/>
    <n v="2026"/>
  </r>
  <r>
    <x v="2"/>
    <s v="Australia"/>
    <x v="2"/>
    <x v="2"/>
    <x v="0"/>
    <n v="241638"/>
    <n v="105"/>
    <n v="483"/>
    <n v="2.41"/>
    <n v="76749"/>
    <n v="33908"/>
    <n v="14"/>
    <s v="Yes"/>
    <n v="27.7"/>
    <n v="161.6"/>
    <n v="2026"/>
  </r>
  <r>
    <x v="3"/>
    <s v="China"/>
    <x v="0"/>
    <x v="3"/>
    <x v="1"/>
    <n v="681021"/>
    <n v="116"/>
    <n v="472"/>
    <n v="1.53"/>
    <n v="64238"/>
    <n v="57502"/>
    <n v="17.5"/>
    <s v="Yes"/>
    <n v="40.1"/>
    <n v="246.3"/>
    <n v="2026"/>
  </r>
  <r>
    <x v="4"/>
    <s v="Canada"/>
    <x v="1"/>
    <x v="2"/>
    <x v="2"/>
    <n v="714686"/>
    <n v="114"/>
    <n v="485"/>
    <n v="2.0699999999999998"/>
    <n v="135149"/>
    <n v="58145"/>
    <n v="16.100000000000001"/>
    <s v="No"/>
    <n v="54.5"/>
    <n v="21.2"/>
    <n v="2026"/>
  </r>
  <r>
    <x v="5"/>
    <s v="Canada"/>
    <x v="1"/>
    <x v="4"/>
    <x v="3"/>
    <n v="544980"/>
    <n v="102"/>
    <n v="482"/>
    <n v="1.27"/>
    <n v="14009"/>
    <n v="62939"/>
    <n v="14.7"/>
    <s v="No"/>
    <n v="26.7"/>
    <n v="26.2"/>
    <n v="2026"/>
  </r>
  <r>
    <x v="6"/>
    <s v="Germany"/>
    <x v="3"/>
    <x v="2"/>
    <x v="0"/>
    <n v="648873"/>
    <n v="103"/>
    <n v="463"/>
    <n v="1.1000000000000001"/>
    <n v="17055"/>
    <n v="50809"/>
    <n v="14.5"/>
    <s v="Yes"/>
    <n v="7"/>
    <n v="273.10000000000002"/>
    <n v="2026"/>
  </r>
  <r>
    <x v="7"/>
    <s v="India"/>
    <x v="0"/>
    <x v="5"/>
    <x v="2"/>
    <n v="347873"/>
    <n v="105"/>
    <n v="415"/>
    <n v="1.87"/>
    <n v="165191"/>
    <n v="31856"/>
    <n v="20.100000000000001"/>
    <s v="No"/>
    <n v="54.8"/>
    <n v="294.39999999999998"/>
    <n v="2026"/>
  </r>
  <r>
    <x v="8"/>
    <s v="India"/>
    <x v="0"/>
    <x v="6"/>
    <x v="0"/>
    <n v="764133"/>
    <n v="85"/>
    <n v="278"/>
    <n v="2.11"/>
    <n v="54109"/>
    <n v="30176"/>
    <n v="14.7"/>
    <s v="No"/>
    <n v="33.1"/>
    <n v="202.7"/>
    <n v="2026"/>
  </r>
  <r>
    <x v="9"/>
    <s v="India"/>
    <x v="0"/>
    <x v="7"/>
    <x v="0"/>
    <n v="666056"/>
    <n v="115"/>
    <n v="258"/>
    <n v="1.3"/>
    <n v="82460"/>
    <n v="27870"/>
    <n v="20.6"/>
    <s v="Yes"/>
    <n v="26"/>
    <n v="80.7"/>
    <n v="2026"/>
  </r>
  <r>
    <x v="10"/>
    <s v="United States"/>
    <x v="1"/>
    <x v="0"/>
    <x v="2"/>
    <n v="531173"/>
    <n v="113"/>
    <n v="613"/>
    <n v="1.42"/>
    <n v="196990"/>
    <n v="79966"/>
    <n v="15.4"/>
    <s v="Yes"/>
    <n v="37"/>
    <n v="299.2"/>
    <n v="2026"/>
  </r>
  <r>
    <x v="11"/>
    <s v="Canada"/>
    <x v="1"/>
    <x v="0"/>
    <x v="1"/>
    <n v="29632"/>
    <n v="69"/>
    <n v="421"/>
    <n v="1.42"/>
    <n v="43607"/>
    <n v="65128"/>
    <n v="18.899999999999999"/>
    <s v="No"/>
    <n v="19.100000000000001"/>
    <n v="259"/>
    <n v="2026"/>
  </r>
  <r>
    <x v="12"/>
    <s v="Norway"/>
    <x v="3"/>
    <x v="6"/>
    <x v="2"/>
    <n v="49610"/>
    <n v="87"/>
    <n v="568"/>
    <n v="1.17"/>
    <n v="62794"/>
    <n v="47574"/>
    <n v="12.6"/>
    <s v="Yes"/>
    <n v="13.3"/>
    <n v="113.7"/>
    <n v="2026"/>
  </r>
  <r>
    <x v="13"/>
    <s v="Australia"/>
    <x v="2"/>
    <x v="4"/>
    <x v="0"/>
    <n v="465357"/>
    <n v="43"/>
    <n v="443"/>
    <n v="2.5099999999999998"/>
    <n v="3580"/>
    <n v="34017"/>
    <n v="22.4"/>
    <s v="Yes"/>
    <n v="6.4"/>
    <n v="51.6"/>
    <n v="2026"/>
  </r>
  <r>
    <x v="14"/>
    <s v="France"/>
    <x v="3"/>
    <x v="2"/>
    <x v="3"/>
    <n v="571320"/>
    <n v="56"/>
    <n v="486"/>
    <n v="2.83"/>
    <n v="170481"/>
    <n v="82538"/>
    <n v="13.9"/>
    <s v="No"/>
    <n v="58.2"/>
    <n v="276"/>
    <n v="2026"/>
  </r>
  <r>
    <x v="15"/>
    <s v="China"/>
    <x v="0"/>
    <x v="6"/>
    <x v="3"/>
    <n v="652396"/>
    <n v="81"/>
    <n v="282"/>
    <n v="1.64"/>
    <n v="92851"/>
    <n v="76420"/>
    <n v="19.600000000000001"/>
    <s v="No"/>
    <n v="35.5"/>
    <n v="46.6"/>
    <n v="2026"/>
  </r>
  <r>
    <x v="16"/>
    <s v="India"/>
    <x v="0"/>
    <x v="8"/>
    <x v="3"/>
    <n v="351592"/>
    <n v="111"/>
    <n v="375"/>
    <n v="0.51"/>
    <n v="179365"/>
    <n v="52843"/>
    <n v="16.5"/>
    <s v="No"/>
    <n v="37.9"/>
    <n v="67.5"/>
    <n v="2026"/>
  </r>
  <r>
    <x v="17"/>
    <s v="India"/>
    <x v="0"/>
    <x v="5"/>
    <x v="3"/>
    <n v="741962"/>
    <n v="94"/>
    <n v="271"/>
    <n v="2.4"/>
    <n v="95509"/>
    <n v="64994"/>
    <n v="18.2"/>
    <s v="No"/>
    <n v="10.8"/>
    <n v="197.4"/>
    <n v="2026"/>
  </r>
  <r>
    <x v="18"/>
    <s v="United Kingdom"/>
    <x v="3"/>
    <x v="5"/>
    <x v="1"/>
    <n v="699943"/>
    <n v="103"/>
    <n v="337"/>
    <n v="0.72"/>
    <n v="129379"/>
    <n v="75020"/>
    <n v="20.9"/>
    <s v="No"/>
    <n v="31.7"/>
    <n v="139.30000000000001"/>
    <n v="2026"/>
  </r>
  <r>
    <x v="19"/>
    <s v="India"/>
    <x v="0"/>
    <x v="7"/>
    <x v="2"/>
    <n v="307917"/>
    <n v="48"/>
    <n v="320"/>
    <n v="2.5299999999999998"/>
    <n v="153384"/>
    <n v="55189"/>
    <n v="20.399999999999999"/>
    <s v="No"/>
    <n v="48"/>
    <n v="52.9"/>
    <n v="2026"/>
  </r>
  <r>
    <x v="20"/>
    <s v="France"/>
    <x v="3"/>
    <x v="1"/>
    <x v="0"/>
    <n v="151263"/>
    <n v="56"/>
    <n v="538"/>
    <n v="0.64"/>
    <n v="195903"/>
    <n v="72561"/>
    <n v="12.7"/>
    <s v="No"/>
    <n v="31.8"/>
    <n v="90.3"/>
    <n v="2026"/>
  </r>
  <r>
    <x v="21"/>
    <s v="United Kingdom"/>
    <x v="3"/>
    <x v="4"/>
    <x v="2"/>
    <n v="75402"/>
    <n v="87"/>
    <n v="410"/>
    <n v="1.1499999999999999"/>
    <n v="19358"/>
    <n v="45192"/>
    <n v="14.2"/>
    <s v="Yes"/>
    <n v="35.6"/>
    <n v="62.9"/>
    <n v="2026"/>
  </r>
  <r>
    <x v="22"/>
    <s v="Japan"/>
    <x v="0"/>
    <x v="5"/>
    <x v="1"/>
    <n v="530526"/>
    <n v="61"/>
    <n v="649"/>
    <n v="1.77"/>
    <n v="89369"/>
    <n v="75305"/>
    <n v="19.600000000000001"/>
    <s v="No"/>
    <n v="34.700000000000003"/>
    <n v="241.5"/>
    <n v="2026"/>
  </r>
  <r>
    <x v="23"/>
    <s v="Germany"/>
    <x v="3"/>
    <x v="7"/>
    <x v="3"/>
    <n v="668699"/>
    <n v="56"/>
    <n v="490"/>
    <n v="2.4900000000000002"/>
    <n v="44152"/>
    <n v="75146"/>
    <n v="21.5"/>
    <s v="No"/>
    <n v="8.9"/>
    <n v="187.6"/>
    <n v="2026"/>
  </r>
  <r>
    <x v="24"/>
    <s v="United States"/>
    <x v="1"/>
    <x v="8"/>
    <x v="2"/>
    <n v="82661"/>
    <n v="46"/>
    <n v="307"/>
    <n v="2.63"/>
    <n v="73621"/>
    <n v="53409"/>
    <n v="24.4"/>
    <s v="Yes"/>
    <n v="57.7"/>
    <n v="82.7"/>
    <n v="2026"/>
  </r>
  <r>
    <x v="25"/>
    <s v="India"/>
    <x v="0"/>
    <x v="1"/>
    <x v="3"/>
    <n v="443610"/>
    <n v="81"/>
    <n v="342"/>
    <n v="2.1"/>
    <n v="176730"/>
    <n v="62853"/>
    <n v="23.5"/>
    <s v="No"/>
    <n v="16.2"/>
    <n v="117.1"/>
    <n v="2026"/>
  </r>
  <r>
    <x v="26"/>
    <s v="India"/>
    <x v="0"/>
    <x v="7"/>
    <x v="1"/>
    <n v="847684"/>
    <n v="50"/>
    <n v="530"/>
    <n v="2.41"/>
    <n v="175662"/>
    <n v="41440"/>
    <n v="13.8"/>
    <s v="Yes"/>
    <n v="41"/>
    <n v="187.7"/>
    <n v="2026"/>
  </r>
  <r>
    <x v="27"/>
    <s v="Germany"/>
    <x v="3"/>
    <x v="9"/>
    <x v="1"/>
    <n v="567517"/>
    <n v="95"/>
    <n v="634"/>
    <n v="2.42"/>
    <n v="32099"/>
    <n v="36942"/>
    <n v="21.1"/>
    <s v="Yes"/>
    <n v="41.6"/>
    <n v="82.3"/>
    <n v="2026"/>
  </r>
  <r>
    <x v="28"/>
    <s v="Australia"/>
    <x v="2"/>
    <x v="7"/>
    <x v="0"/>
    <n v="593098"/>
    <n v="69"/>
    <n v="559"/>
    <n v="2.14"/>
    <n v="137770"/>
    <n v="52392"/>
    <n v="18.100000000000001"/>
    <s v="Yes"/>
    <n v="18.899999999999999"/>
    <n v="294.7"/>
    <n v="2026"/>
  </r>
  <r>
    <x v="29"/>
    <s v="China"/>
    <x v="0"/>
    <x v="7"/>
    <x v="2"/>
    <n v="395710"/>
    <n v="49"/>
    <n v="304"/>
    <n v="0.89"/>
    <n v="185394"/>
    <n v="47786"/>
    <n v="24.7"/>
    <s v="Yes"/>
    <n v="44.7"/>
    <n v="96.5"/>
    <n v="2026"/>
  </r>
  <r>
    <x v="30"/>
    <s v="Japan"/>
    <x v="0"/>
    <x v="8"/>
    <x v="1"/>
    <n v="771933"/>
    <n v="74"/>
    <n v="488"/>
    <n v="0.76"/>
    <n v="121130"/>
    <n v="67707"/>
    <n v="19.899999999999999"/>
    <s v="Yes"/>
    <n v="62.9"/>
    <n v="78.099999999999994"/>
    <n v="2026"/>
  </r>
  <r>
    <x v="31"/>
    <s v="Germany"/>
    <x v="3"/>
    <x v="3"/>
    <x v="2"/>
    <n v="588978"/>
    <n v="68"/>
    <n v="499"/>
    <n v="1.31"/>
    <n v="86895"/>
    <n v="36140"/>
    <n v="16.2"/>
    <s v="No"/>
    <n v="61.9"/>
    <n v="98.7"/>
    <n v="2026"/>
  </r>
  <r>
    <x v="32"/>
    <s v="Norway"/>
    <x v="3"/>
    <x v="2"/>
    <x v="1"/>
    <n v="395117"/>
    <n v="112"/>
    <n v="391"/>
    <n v="1.36"/>
    <n v="176015"/>
    <n v="82567"/>
    <n v="12.2"/>
    <s v="No"/>
    <n v="64.5"/>
    <n v="174.9"/>
    <n v="2026"/>
  </r>
  <r>
    <x v="33"/>
    <s v="Germany"/>
    <x v="3"/>
    <x v="7"/>
    <x v="3"/>
    <n v="793142"/>
    <n v="76"/>
    <n v="622"/>
    <n v="0.96"/>
    <n v="148664"/>
    <n v="70536"/>
    <n v="24.1"/>
    <s v="No"/>
    <n v="32.700000000000003"/>
    <n v="262.5"/>
    <n v="2026"/>
  </r>
  <r>
    <x v="34"/>
    <s v="United Kingdom"/>
    <x v="3"/>
    <x v="8"/>
    <x v="2"/>
    <n v="580855"/>
    <n v="46"/>
    <n v="440"/>
    <n v="1.28"/>
    <n v="150284"/>
    <n v="47158"/>
    <n v="21.8"/>
    <s v="No"/>
    <n v="23.5"/>
    <n v="38.200000000000003"/>
    <n v="2026"/>
  </r>
  <r>
    <x v="35"/>
    <s v="United States"/>
    <x v="1"/>
    <x v="1"/>
    <x v="3"/>
    <n v="773922"/>
    <n v="42"/>
    <n v="376"/>
    <n v="1.53"/>
    <n v="39121"/>
    <n v="45622"/>
    <n v="24.3"/>
    <s v="Yes"/>
    <n v="25.4"/>
    <n v="186.6"/>
    <n v="2026"/>
  </r>
  <r>
    <x v="36"/>
    <s v="Canada"/>
    <x v="1"/>
    <x v="2"/>
    <x v="3"/>
    <n v="514877"/>
    <n v="70"/>
    <n v="471"/>
    <n v="2.39"/>
    <n v="179249"/>
    <n v="46090"/>
    <n v="24.3"/>
    <s v="Yes"/>
    <n v="9.5"/>
    <n v="264.7"/>
    <n v="2026"/>
  </r>
  <r>
    <x v="37"/>
    <s v="Germany"/>
    <x v="3"/>
    <x v="6"/>
    <x v="0"/>
    <n v="286182"/>
    <n v="100"/>
    <n v="538"/>
    <n v="2.35"/>
    <n v="17469"/>
    <n v="38284"/>
    <n v="15.5"/>
    <s v="Yes"/>
    <n v="62.7"/>
    <n v="148.6"/>
    <n v="2026"/>
  </r>
  <r>
    <x v="38"/>
    <s v="Australia"/>
    <x v="2"/>
    <x v="2"/>
    <x v="0"/>
    <n v="286708"/>
    <n v="106"/>
    <n v="439"/>
    <n v="2.4"/>
    <n v="134504"/>
    <n v="61915"/>
    <n v="20"/>
    <s v="Yes"/>
    <n v="57.4"/>
    <n v="31.9"/>
    <n v="2026"/>
  </r>
  <r>
    <x v="39"/>
    <s v="Germany"/>
    <x v="3"/>
    <x v="8"/>
    <x v="3"/>
    <n v="70354"/>
    <n v="58"/>
    <n v="397"/>
    <n v="2.85"/>
    <n v="11586"/>
    <n v="34423"/>
    <n v="21"/>
    <s v="No"/>
    <n v="39.6"/>
    <n v="191.2"/>
    <n v="2026"/>
  </r>
  <r>
    <x v="40"/>
    <s v="Norway"/>
    <x v="3"/>
    <x v="9"/>
    <x v="2"/>
    <n v="350824"/>
    <n v="80"/>
    <n v="296"/>
    <n v="2.68"/>
    <n v="43534"/>
    <n v="45874"/>
    <n v="19.2"/>
    <s v="No"/>
    <n v="7.5"/>
    <n v="258.2"/>
    <n v="2026"/>
  </r>
  <r>
    <x v="41"/>
    <s v="Norway"/>
    <x v="3"/>
    <x v="4"/>
    <x v="3"/>
    <n v="847155"/>
    <n v="52"/>
    <n v="292"/>
    <n v="2.92"/>
    <n v="27177"/>
    <n v="37555"/>
    <n v="17.600000000000001"/>
    <s v="No"/>
    <n v="21.6"/>
    <n v="63.6"/>
    <n v="2026"/>
  </r>
  <r>
    <x v="42"/>
    <s v="Australia"/>
    <x v="2"/>
    <x v="3"/>
    <x v="2"/>
    <n v="21380"/>
    <n v="96"/>
    <n v="508"/>
    <n v="2.39"/>
    <n v="131470"/>
    <n v="79419"/>
    <n v="24"/>
    <s v="No"/>
    <n v="13.1"/>
    <n v="110.1"/>
    <n v="2026"/>
  </r>
  <r>
    <x v="43"/>
    <s v="Australia"/>
    <x v="2"/>
    <x v="4"/>
    <x v="3"/>
    <n v="688173"/>
    <n v="96"/>
    <n v="395"/>
    <n v="1.29"/>
    <n v="86443"/>
    <n v="77793"/>
    <n v="15.4"/>
    <s v="Yes"/>
    <n v="47"/>
    <n v="82.7"/>
    <n v="2026"/>
  </r>
  <r>
    <x v="44"/>
    <s v="Germany"/>
    <x v="3"/>
    <x v="4"/>
    <x v="2"/>
    <n v="664493"/>
    <n v="75"/>
    <n v="578"/>
    <n v="0.71"/>
    <n v="116447"/>
    <n v="29698"/>
    <n v="20.6"/>
    <s v="Yes"/>
    <n v="8.1999999999999993"/>
    <n v="237.3"/>
    <n v="2026"/>
  </r>
  <r>
    <x v="45"/>
    <s v="Canada"/>
    <x v="1"/>
    <x v="6"/>
    <x v="3"/>
    <n v="876218"/>
    <n v="101"/>
    <n v="263"/>
    <n v="1.04"/>
    <n v="166552"/>
    <n v="27478"/>
    <n v="15.1"/>
    <s v="No"/>
    <n v="60.2"/>
    <n v="163.9"/>
    <n v="2026"/>
  </r>
  <r>
    <x v="46"/>
    <s v="Canada"/>
    <x v="1"/>
    <x v="6"/>
    <x v="1"/>
    <n v="622503"/>
    <n v="71"/>
    <n v="548"/>
    <n v="2.3199999999999998"/>
    <n v="162620"/>
    <n v="37722"/>
    <n v="22.7"/>
    <s v="No"/>
    <n v="50.7"/>
    <n v="81.900000000000006"/>
    <n v="2026"/>
  </r>
  <r>
    <x v="47"/>
    <s v="China"/>
    <x v="0"/>
    <x v="1"/>
    <x v="3"/>
    <n v="96400"/>
    <n v="45"/>
    <n v="629"/>
    <n v="2.67"/>
    <n v="1829"/>
    <n v="69376"/>
    <n v="23.8"/>
    <s v="No"/>
    <n v="48.5"/>
    <n v="190"/>
    <n v="2026"/>
  </r>
  <r>
    <x v="48"/>
    <s v="United States"/>
    <x v="1"/>
    <x v="3"/>
    <x v="3"/>
    <n v="194579"/>
    <n v="103"/>
    <n v="446"/>
    <n v="2.84"/>
    <n v="55276"/>
    <n v="74595"/>
    <n v="12.9"/>
    <s v="No"/>
    <n v="29.2"/>
    <n v="279.5"/>
    <n v="2026"/>
  </r>
  <r>
    <x v="49"/>
    <s v="China"/>
    <x v="0"/>
    <x v="8"/>
    <x v="3"/>
    <n v="42529"/>
    <n v="113"/>
    <n v="414"/>
    <n v="1.83"/>
    <n v="68335"/>
    <n v="43125"/>
    <n v="22.4"/>
    <s v="No"/>
    <n v="63.8"/>
    <n v="209"/>
    <n v="2026"/>
  </r>
  <r>
    <x v="50"/>
    <s v="Canada"/>
    <x v="1"/>
    <x v="4"/>
    <x v="0"/>
    <n v="647861"/>
    <n v="45"/>
    <n v="292"/>
    <n v="2.99"/>
    <n v="155459"/>
    <n v="68652"/>
    <n v="14.7"/>
    <s v="No"/>
    <n v="22.7"/>
    <n v="109.2"/>
    <n v="2026"/>
  </r>
  <r>
    <x v="51"/>
    <s v="India"/>
    <x v="0"/>
    <x v="5"/>
    <x v="3"/>
    <n v="479628"/>
    <n v="60"/>
    <n v="346"/>
    <n v="2.15"/>
    <n v="126283"/>
    <n v="36993"/>
    <n v="13.6"/>
    <s v="No"/>
    <n v="50"/>
    <n v="159.1"/>
    <n v="2026"/>
  </r>
  <r>
    <x v="52"/>
    <s v="India"/>
    <x v="0"/>
    <x v="3"/>
    <x v="0"/>
    <n v="400267"/>
    <n v="110"/>
    <n v="339"/>
    <n v="1.81"/>
    <n v="184748"/>
    <n v="62267"/>
    <n v="13.6"/>
    <s v="Yes"/>
    <n v="32.1"/>
    <n v="78"/>
    <n v="2026"/>
  </r>
  <r>
    <x v="53"/>
    <s v="Norway"/>
    <x v="3"/>
    <x v="1"/>
    <x v="3"/>
    <n v="76911"/>
    <n v="72"/>
    <n v="406"/>
    <n v="1.1200000000000001"/>
    <n v="47805"/>
    <n v="60359"/>
    <n v="19.100000000000001"/>
    <s v="No"/>
    <n v="63.4"/>
    <n v="13.5"/>
    <n v="2026"/>
  </r>
  <r>
    <x v="54"/>
    <s v="United Kingdom"/>
    <x v="3"/>
    <x v="9"/>
    <x v="3"/>
    <n v="659302"/>
    <n v="91"/>
    <n v="550"/>
    <n v="1.08"/>
    <n v="86208"/>
    <n v="48453"/>
    <n v="20.100000000000001"/>
    <s v="No"/>
    <n v="60.5"/>
    <n v="204.3"/>
    <n v="2026"/>
  </r>
  <r>
    <x v="55"/>
    <s v="United Kingdom"/>
    <x v="3"/>
    <x v="4"/>
    <x v="1"/>
    <n v="480452"/>
    <n v="54"/>
    <n v="558"/>
    <n v="0.66"/>
    <n v="169602"/>
    <n v="72909"/>
    <n v="23.4"/>
    <s v="Yes"/>
    <n v="63.1"/>
    <n v="244.4"/>
    <n v="2026"/>
  </r>
  <r>
    <x v="56"/>
    <s v="Germany"/>
    <x v="3"/>
    <x v="9"/>
    <x v="3"/>
    <n v="872037"/>
    <n v="46"/>
    <n v="528"/>
    <n v="1.48"/>
    <n v="185518"/>
    <n v="37260"/>
    <n v="14.8"/>
    <s v="No"/>
    <n v="49.1"/>
    <n v="110.4"/>
    <n v="2026"/>
  </r>
  <r>
    <x v="57"/>
    <s v="Japan"/>
    <x v="0"/>
    <x v="9"/>
    <x v="3"/>
    <n v="346781"/>
    <n v="120"/>
    <n v="500"/>
    <n v="1.1599999999999999"/>
    <n v="85522"/>
    <n v="56553"/>
    <n v="13.1"/>
    <s v="Yes"/>
    <n v="37.299999999999997"/>
    <n v="190.1"/>
    <n v="2026"/>
  </r>
  <r>
    <x v="58"/>
    <s v="Japan"/>
    <x v="0"/>
    <x v="8"/>
    <x v="1"/>
    <n v="511635"/>
    <n v="46"/>
    <n v="542"/>
    <n v="2.37"/>
    <n v="28359"/>
    <n v="48335"/>
    <n v="23"/>
    <s v="No"/>
    <n v="18.8"/>
    <n v="125.5"/>
    <n v="2026"/>
  </r>
  <r>
    <x v="59"/>
    <s v="United States"/>
    <x v="1"/>
    <x v="4"/>
    <x v="3"/>
    <n v="523006"/>
    <n v="100"/>
    <n v="433"/>
    <n v="1.97"/>
    <n v="82049"/>
    <n v="82242"/>
    <n v="21.8"/>
    <s v="Yes"/>
    <n v="37.9"/>
    <n v="108.8"/>
    <n v="2026"/>
  </r>
  <r>
    <x v="60"/>
    <s v="United Kingdom"/>
    <x v="3"/>
    <x v="8"/>
    <x v="3"/>
    <n v="222241"/>
    <n v="41"/>
    <n v="470"/>
    <n v="2.91"/>
    <n v="133064"/>
    <n v="68680"/>
    <n v="22.9"/>
    <s v="No"/>
    <n v="10.5"/>
    <n v="78.099999999999994"/>
    <n v="2026"/>
  </r>
  <r>
    <x v="61"/>
    <s v="Canada"/>
    <x v="1"/>
    <x v="3"/>
    <x v="1"/>
    <n v="690944"/>
    <n v="109"/>
    <n v="368"/>
    <n v="2.02"/>
    <n v="8283"/>
    <n v="42692"/>
    <n v="15.4"/>
    <s v="Yes"/>
    <n v="15.4"/>
    <n v="44.5"/>
    <n v="2026"/>
  </r>
  <r>
    <x v="62"/>
    <s v="Canada"/>
    <x v="1"/>
    <x v="3"/>
    <x v="3"/>
    <n v="748100"/>
    <n v="118"/>
    <n v="583"/>
    <n v="2.4"/>
    <n v="132569"/>
    <n v="82187"/>
    <n v="12.4"/>
    <s v="No"/>
    <n v="40.9"/>
    <n v="33"/>
    <n v="2026"/>
  </r>
  <r>
    <x v="63"/>
    <s v="India"/>
    <x v="0"/>
    <x v="0"/>
    <x v="2"/>
    <n v="537297"/>
    <n v="72"/>
    <n v="581"/>
    <n v="2.0099999999999998"/>
    <n v="100011"/>
    <n v="38324"/>
    <n v="17.8"/>
    <s v="No"/>
    <n v="41.6"/>
    <n v="207.5"/>
    <n v="2026"/>
  </r>
  <r>
    <x v="64"/>
    <s v="Canada"/>
    <x v="1"/>
    <x v="1"/>
    <x v="2"/>
    <n v="59534"/>
    <n v="75"/>
    <n v="534"/>
    <n v="1.86"/>
    <n v="173764"/>
    <n v="84946"/>
    <n v="23.5"/>
    <s v="Yes"/>
    <n v="20.2"/>
    <n v="98.1"/>
    <n v="2026"/>
  </r>
  <r>
    <x v="65"/>
    <s v="France"/>
    <x v="3"/>
    <x v="1"/>
    <x v="0"/>
    <n v="266038"/>
    <n v="66"/>
    <n v="436"/>
    <n v="0.73"/>
    <n v="55612"/>
    <n v="68911"/>
    <n v="17.100000000000001"/>
    <s v="No"/>
    <n v="37.6"/>
    <n v="217.1"/>
    <n v="2026"/>
  </r>
  <r>
    <x v="66"/>
    <s v="Australia"/>
    <x v="2"/>
    <x v="6"/>
    <x v="3"/>
    <n v="780017"/>
    <n v="47"/>
    <n v="467"/>
    <n v="2.19"/>
    <n v="53273"/>
    <n v="40719"/>
    <n v="23.5"/>
    <s v="Yes"/>
    <n v="47"/>
    <n v="143.1"/>
    <n v="2026"/>
  </r>
  <r>
    <x v="67"/>
    <s v="Germany"/>
    <x v="3"/>
    <x v="0"/>
    <x v="1"/>
    <n v="497519"/>
    <n v="104"/>
    <n v="333"/>
    <n v="2.81"/>
    <n v="43491"/>
    <n v="65327"/>
    <n v="20"/>
    <s v="Yes"/>
    <n v="33.700000000000003"/>
    <n v="31.8"/>
    <n v="2026"/>
  </r>
  <r>
    <x v="68"/>
    <s v="Canada"/>
    <x v="1"/>
    <x v="7"/>
    <x v="2"/>
    <n v="692796"/>
    <n v="51"/>
    <n v="280"/>
    <n v="1.86"/>
    <n v="11787"/>
    <n v="64538"/>
    <n v="20.5"/>
    <s v="Yes"/>
    <n v="48.2"/>
    <n v="261.10000000000002"/>
    <n v="2026"/>
  </r>
  <r>
    <x v="69"/>
    <s v="Australia"/>
    <x v="2"/>
    <x v="5"/>
    <x v="0"/>
    <n v="458649"/>
    <n v="92"/>
    <n v="364"/>
    <n v="1.61"/>
    <n v="162207"/>
    <n v="31712"/>
    <n v="20.7"/>
    <s v="No"/>
    <n v="51.4"/>
    <n v="254.7"/>
    <n v="2026"/>
  </r>
  <r>
    <x v="70"/>
    <s v="Australia"/>
    <x v="2"/>
    <x v="8"/>
    <x v="1"/>
    <n v="317687"/>
    <n v="41"/>
    <n v="258"/>
    <n v="2.06"/>
    <n v="182238"/>
    <n v="27827"/>
    <n v="19.3"/>
    <s v="No"/>
    <n v="10.7"/>
    <n v="167.6"/>
    <n v="2026"/>
  </r>
  <r>
    <x v="71"/>
    <s v="United Kingdom"/>
    <x v="3"/>
    <x v="6"/>
    <x v="2"/>
    <n v="705487"/>
    <n v="119"/>
    <n v="252"/>
    <n v="0.59"/>
    <n v="191640"/>
    <n v="57891"/>
    <n v="16.7"/>
    <s v="Yes"/>
    <n v="10.5"/>
    <n v="264.10000000000002"/>
    <n v="2026"/>
  </r>
  <r>
    <x v="72"/>
    <s v="United Kingdom"/>
    <x v="3"/>
    <x v="1"/>
    <x v="1"/>
    <n v="48320"/>
    <n v="47"/>
    <n v="539"/>
    <n v="1.44"/>
    <n v="134850"/>
    <n v="75971"/>
    <n v="16.899999999999999"/>
    <s v="Yes"/>
    <n v="64.8"/>
    <n v="153"/>
    <n v="2026"/>
  </r>
  <r>
    <x v="73"/>
    <s v="Japan"/>
    <x v="0"/>
    <x v="5"/>
    <x v="0"/>
    <n v="671917"/>
    <n v="114"/>
    <n v="315"/>
    <n v="0.64"/>
    <n v="155236"/>
    <n v="51824"/>
    <n v="12.6"/>
    <s v="No"/>
    <n v="9.6"/>
    <n v="12.2"/>
    <n v="2026"/>
  </r>
  <r>
    <x v="74"/>
    <s v="Canada"/>
    <x v="1"/>
    <x v="3"/>
    <x v="3"/>
    <n v="242497"/>
    <n v="90"/>
    <n v="333"/>
    <n v="0.51"/>
    <n v="72041"/>
    <n v="54172"/>
    <n v="17.600000000000001"/>
    <s v="Yes"/>
    <n v="30.2"/>
    <n v="172.8"/>
    <n v="2026"/>
  </r>
  <r>
    <x v="75"/>
    <s v="France"/>
    <x v="3"/>
    <x v="4"/>
    <x v="2"/>
    <n v="238012"/>
    <n v="83"/>
    <n v="428"/>
    <n v="0.78"/>
    <n v="65912"/>
    <n v="50029"/>
    <n v="14.2"/>
    <s v="No"/>
    <n v="7"/>
    <n v="122.5"/>
    <n v="2026"/>
  </r>
  <r>
    <x v="76"/>
    <s v="Canada"/>
    <x v="1"/>
    <x v="0"/>
    <x v="3"/>
    <n v="316268"/>
    <n v="53"/>
    <n v="330"/>
    <n v="0.63"/>
    <n v="189868"/>
    <n v="34931"/>
    <n v="22.3"/>
    <s v="No"/>
    <n v="9.1"/>
    <n v="274.3"/>
    <n v="2026"/>
  </r>
  <r>
    <x v="77"/>
    <s v="United Kingdom"/>
    <x v="3"/>
    <x v="8"/>
    <x v="2"/>
    <n v="348600"/>
    <n v="119"/>
    <n v="335"/>
    <n v="1.63"/>
    <n v="47805"/>
    <n v="70682"/>
    <n v="16.600000000000001"/>
    <s v="Yes"/>
    <n v="22.8"/>
    <n v="111.3"/>
    <n v="2026"/>
  </r>
  <r>
    <x v="78"/>
    <s v="China"/>
    <x v="0"/>
    <x v="0"/>
    <x v="2"/>
    <n v="11516"/>
    <n v="75"/>
    <n v="426"/>
    <n v="1.62"/>
    <n v="183917"/>
    <n v="70647"/>
    <n v="14.1"/>
    <s v="Yes"/>
    <n v="9.6999999999999993"/>
    <n v="206.5"/>
    <n v="2026"/>
  </r>
  <r>
    <x v="79"/>
    <s v="United States"/>
    <x v="1"/>
    <x v="4"/>
    <x v="0"/>
    <n v="413287"/>
    <n v="67"/>
    <n v="281"/>
    <n v="1.87"/>
    <n v="13734"/>
    <n v="83600"/>
    <n v="15"/>
    <s v="No"/>
    <n v="26.5"/>
    <n v="130.69999999999999"/>
    <n v="2026"/>
  </r>
  <r>
    <x v="80"/>
    <s v="Australia"/>
    <x v="2"/>
    <x v="7"/>
    <x v="0"/>
    <n v="694495"/>
    <n v="72"/>
    <n v="540"/>
    <n v="1.29"/>
    <n v="102813"/>
    <n v="82054"/>
    <n v="24"/>
    <s v="Yes"/>
    <n v="31.2"/>
    <n v="21"/>
    <n v="2026"/>
  </r>
  <r>
    <x v="81"/>
    <s v="Germany"/>
    <x v="3"/>
    <x v="9"/>
    <x v="1"/>
    <n v="539089"/>
    <n v="91"/>
    <n v="617"/>
    <n v="0.7"/>
    <n v="127877"/>
    <n v="27683"/>
    <n v="19.5"/>
    <s v="Yes"/>
    <n v="36"/>
    <n v="289.2"/>
    <n v="2026"/>
  </r>
  <r>
    <x v="82"/>
    <s v="India"/>
    <x v="0"/>
    <x v="3"/>
    <x v="1"/>
    <n v="897307"/>
    <n v="96"/>
    <n v="324"/>
    <n v="2.87"/>
    <n v="167107"/>
    <n v="59551"/>
    <n v="16.3"/>
    <s v="Yes"/>
    <n v="47.1"/>
    <n v="73.900000000000006"/>
    <n v="2026"/>
  </r>
  <r>
    <x v="83"/>
    <s v="France"/>
    <x v="3"/>
    <x v="0"/>
    <x v="0"/>
    <n v="659226"/>
    <n v="102"/>
    <n v="491"/>
    <n v="1.31"/>
    <n v="111608"/>
    <n v="43393"/>
    <n v="23.4"/>
    <s v="No"/>
    <n v="60.4"/>
    <n v="127.1"/>
    <n v="2026"/>
  </r>
  <r>
    <x v="84"/>
    <s v="China"/>
    <x v="0"/>
    <x v="8"/>
    <x v="0"/>
    <n v="724850"/>
    <n v="94"/>
    <n v="250"/>
    <n v="0.68"/>
    <n v="59127"/>
    <n v="27460"/>
    <n v="17.2"/>
    <s v="No"/>
    <n v="58.8"/>
    <n v="121.4"/>
    <n v="2026"/>
  </r>
  <r>
    <x v="85"/>
    <s v="Canada"/>
    <x v="1"/>
    <x v="6"/>
    <x v="1"/>
    <n v="846096"/>
    <n v="99"/>
    <n v="516"/>
    <n v="2.86"/>
    <n v="160653"/>
    <n v="81194"/>
    <n v="15.5"/>
    <s v="No"/>
    <n v="55.5"/>
    <n v="193.6"/>
    <n v="2026"/>
  </r>
  <r>
    <x v="86"/>
    <s v="Germany"/>
    <x v="3"/>
    <x v="2"/>
    <x v="3"/>
    <n v="616892"/>
    <n v="45"/>
    <n v="558"/>
    <n v="2.56"/>
    <n v="127534"/>
    <n v="60457"/>
    <n v="22.9"/>
    <s v="Yes"/>
    <n v="58"/>
    <n v="67.3"/>
    <n v="2026"/>
  </r>
  <r>
    <x v="87"/>
    <s v="France"/>
    <x v="3"/>
    <x v="5"/>
    <x v="3"/>
    <n v="376073"/>
    <n v="71"/>
    <n v="451"/>
    <n v="2.4500000000000002"/>
    <n v="28712"/>
    <n v="52791"/>
    <n v="19.399999999999999"/>
    <s v="Yes"/>
    <n v="43.7"/>
    <n v="132.6"/>
    <n v="2026"/>
  </r>
  <r>
    <x v="88"/>
    <s v="France"/>
    <x v="3"/>
    <x v="2"/>
    <x v="1"/>
    <n v="426740"/>
    <n v="119"/>
    <n v="376"/>
    <n v="2.85"/>
    <n v="52060"/>
    <n v="79046"/>
    <n v="19.399999999999999"/>
    <s v="No"/>
    <n v="49.9"/>
    <n v="224.3"/>
    <n v="2026"/>
  </r>
  <r>
    <x v="89"/>
    <s v="Australia"/>
    <x v="2"/>
    <x v="0"/>
    <x v="1"/>
    <n v="363723"/>
    <n v="119"/>
    <n v="266"/>
    <n v="2.9"/>
    <n v="38718"/>
    <n v="71024"/>
    <n v="15"/>
    <s v="Yes"/>
    <n v="32.6"/>
    <n v="223.4"/>
    <n v="2026"/>
  </r>
  <r>
    <x v="90"/>
    <s v="France"/>
    <x v="3"/>
    <x v="1"/>
    <x v="1"/>
    <n v="756717"/>
    <n v="107"/>
    <n v="522"/>
    <n v="1.99"/>
    <n v="195095"/>
    <n v="49681"/>
    <n v="20.6"/>
    <s v="No"/>
    <n v="43.5"/>
    <n v="110.3"/>
    <n v="2026"/>
  </r>
  <r>
    <x v="91"/>
    <s v="China"/>
    <x v="0"/>
    <x v="1"/>
    <x v="1"/>
    <n v="712533"/>
    <n v="89"/>
    <n v="648"/>
    <n v="2.76"/>
    <n v="118045"/>
    <n v="39509"/>
    <n v="16.5"/>
    <s v="Yes"/>
    <n v="15.5"/>
    <n v="267.2"/>
    <n v="2026"/>
  </r>
  <r>
    <x v="92"/>
    <s v="India"/>
    <x v="0"/>
    <x v="0"/>
    <x v="0"/>
    <n v="783973"/>
    <n v="100"/>
    <n v="582"/>
    <n v="2.41"/>
    <n v="24150"/>
    <n v="54574"/>
    <n v="16.399999999999999"/>
    <s v="Yes"/>
    <n v="37.700000000000003"/>
    <n v="208.6"/>
    <n v="2026"/>
  </r>
  <r>
    <x v="93"/>
    <s v="China"/>
    <x v="0"/>
    <x v="5"/>
    <x v="2"/>
    <n v="111841"/>
    <n v="89"/>
    <n v="505"/>
    <n v="1.28"/>
    <n v="131858"/>
    <n v="71293"/>
    <n v="17.100000000000001"/>
    <s v="Yes"/>
    <n v="58.6"/>
    <n v="142.9"/>
    <n v="2026"/>
  </r>
  <r>
    <x v="94"/>
    <s v="Japan"/>
    <x v="0"/>
    <x v="6"/>
    <x v="2"/>
    <n v="863543"/>
    <n v="76"/>
    <n v="486"/>
    <n v="1.82"/>
    <n v="112887"/>
    <n v="39399"/>
    <n v="24.6"/>
    <s v="Yes"/>
    <n v="5.4"/>
    <n v="57.9"/>
    <n v="2026"/>
  </r>
  <r>
    <x v="95"/>
    <s v="China"/>
    <x v="0"/>
    <x v="0"/>
    <x v="2"/>
    <n v="276317"/>
    <n v="111"/>
    <n v="315"/>
    <n v="1.58"/>
    <n v="58968"/>
    <n v="43797"/>
    <n v="23.4"/>
    <s v="No"/>
    <n v="5.5"/>
    <n v="220.4"/>
    <n v="2026"/>
  </r>
  <r>
    <x v="96"/>
    <s v="United States"/>
    <x v="1"/>
    <x v="2"/>
    <x v="0"/>
    <n v="516848"/>
    <n v="64"/>
    <n v="300"/>
    <n v="1.97"/>
    <n v="79074"/>
    <n v="74830"/>
    <n v="22.9"/>
    <s v="Yes"/>
    <n v="41.1"/>
    <n v="169.1"/>
    <n v="2026"/>
  </r>
  <r>
    <x v="97"/>
    <s v="Germany"/>
    <x v="3"/>
    <x v="6"/>
    <x v="1"/>
    <n v="74503"/>
    <n v="45"/>
    <n v="564"/>
    <n v="0.97"/>
    <n v="149308"/>
    <n v="51062"/>
    <n v="12.1"/>
    <s v="Yes"/>
    <n v="48.5"/>
    <n v="242.7"/>
    <n v="2026"/>
  </r>
  <r>
    <x v="98"/>
    <s v="France"/>
    <x v="3"/>
    <x v="7"/>
    <x v="1"/>
    <n v="62809"/>
    <n v="45"/>
    <n v="263"/>
    <n v="1.18"/>
    <n v="54019"/>
    <n v="53013"/>
    <n v="20.399999999999999"/>
    <s v="No"/>
    <n v="52.8"/>
    <n v="172.4"/>
    <n v="2026"/>
  </r>
  <r>
    <x v="99"/>
    <s v="United Kingdom"/>
    <x v="3"/>
    <x v="9"/>
    <x v="0"/>
    <n v="161463"/>
    <n v="51"/>
    <n v="526"/>
    <n v="2.78"/>
    <n v="106237"/>
    <n v="48751"/>
    <n v="12.7"/>
    <s v="No"/>
    <n v="49.7"/>
    <n v="232.5"/>
    <n v="2026"/>
  </r>
  <r>
    <x v="100"/>
    <s v="Canada"/>
    <x v="1"/>
    <x v="8"/>
    <x v="3"/>
    <n v="653403"/>
    <n v="86"/>
    <n v="488"/>
    <n v="1.05"/>
    <n v="64141"/>
    <n v="64169"/>
    <n v="24.5"/>
    <s v="No"/>
    <n v="43.3"/>
    <n v="116.5"/>
    <n v="2026"/>
  </r>
  <r>
    <x v="101"/>
    <s v="Germany"/>
    <x v="3"/>
    <x v="2"/>
    <x v="1"/>
    <n v="353335"/>
    <n v="54"/>
    <n v="393"/>
    <n v="0.87"/>
    <n v="69981"/>
    <n v="43351"/>
    <n v="20.6"/>
    <s v="Yes"/>
    <n v="59.6"/>
    <n v="64.599999999999994"/>
    <n v="2026"/>
  </r>
  <r>
    <x v="102"/>
    <s v="France"/>
    <x v="3"/>
    <x v="8"/>
    <x v="1"/>
    <n v="766043"/>
    <n v="105"/>
    <n v="544"/>
    <n v="0.56999999999999995"/>
    <n v="37460"/>
    <n v="32200"/>
    <n v="21.5"/>
    <s v="Yes"/>
    <n v="64"/>
    <n v="164.4"/>
    <n v="2026"/>
  </r>
  <r>
    <x v="103"/>
    <s v="Australia"/>
    <x v="2"/>
    <x v="2"/>
    <x v="2"/>
    <n v="83963"/>
    <n v="76"/>
    <n v="596"/>
    <n v="2.31"/>
    <n v="137769"/>
    <n v="28217"/>
    <n v="13.7"/>
    <s v="No"/>
    <n v="51.1"/>
    <n v="169.8"/>
    <n v="2026"/>
  </r>
  <r>
    <x v="104"/>
    <s v="Australia"/>
    <x v="2"/>
    <x v="8"/>
    <x v="3"/>
    <n v="807105"/>
    <n v="118"/>
    <n v="371"/>
    <n v="1.6"/>
    <n v="169082"/>
    <n v="63758"/>
    <n v="21.5"/>
    <s v="No"/>
    <n v="54.6"/>
    <n v="182.3"/>
    <n v="2026"/>
  </r>
  <r>
    <x v="105"/>
    <s v="Norway"/>
    <x v="3"/>
    <x v="5"/>
    <x v="1"/>
    <n v="376663"/>
    <n v="40"/>
    <n v="359"/>
    <n v="1.69"/>
    <n v="182467"/>
    <n v="39249"/>
    <n v="18.600000000000001"/>
    <s v="Yes"/>
    <n v="13"/>
    <n v="100.7"/>
    <n v="2026"/>
  </r>
  <r>
    <x v="106"/>
    <s v="Canada"/>
    <x v="1"/>
    <x v="0"/>
    <x v="2"/>
    <n v="205405"/>
    <n v="89"/>
    <n v="317"/>
    <n v="1.1399999999999999"/>
    <n v="123479"/>
    <n v="71096"/>
    <n v="18.5"/>
    <s v="Yes"/>
    <n v="6.4"/>
    <n v="182.7"/>
    <n v="2026"/>
  </r>
  <r>
    <x v="107"/>
    <s v="Canada"/>
    <x v="1"/>
    <x v="5"/>
    <x v="3"/>
    <n v="370327"/>
    <n v="65"/>
    <n v="281"/>
    <n v="0.97"/>
    <n v="165735"/>
    <n v="41000"/>
    <n v="16.8"/>
    <s v="Yes"/>
    <n v="57.7"/>
    <n v="285.5"/>
    <n v="2026"/>
  </r>
  <r>
    <x v="108"/>
    <s v="Japan"/>
    <x v="0"/>
    <x v="5"/>
    <x v="3"/>
    <n v="210755"/>
    <n v="62"/>
    <n v="499"/>
    <n v="1.98"/>
    <n v="132590"/>
    <n v="57743"/>
    <n v="14.6"/>
    <s v="No"/>
    <n v="41.9"/>
    <n v="69.599999999999994"/>
    <n v="2026"/>
  </r>
  <r>
    <x v="109"/>
    <s v="Japan"/>
    <x v="0"/>
    <x v="7"/>
    <x v="2"/>
    <n v="845757"/>
    <n v="40"/>
    <n v="401"/>
    <n v="2.52"/>
    <n v="89396"/>
    <n v="58623"/>
    <n v="18"/>
    <s v="No"/>
    <n v="37.6"/>
    <n v="185"/>
    <n v="2026"/>
  </r>
  <r>
    <x v="110"/>
    <s v="India"/>
    <x v="0"/>
    <x v="6"/>
    <x v="2"/>
    <n v="341337"/>
    <n v="94"/>
    <n v="375"/>
    <n v="1.86"/>
    <n v="113981"/>
    <n v="67960"/>
    <n v="24.2"/>
    <s v="Yes"/>
    <n v="22.2"/>
    <n v="89.3"/>
    <n v="2026"/>
  </r>
  <r>
    <x v="111"/>
    <s v="United Kingdom"/>
    <x v="3"/>
    <x v="5"/>
    <x v="3"/>
    <n v="590140"/>
    <n v="96"/>
    <n v="599"/>
    <n v="2.15"/>
    <n v="56484"/>
    <n v="83187"/>
    <n v="13.1"/>
    <s v="No"/>
    <n v="33.6"/>
    <n v="84.6"/>
    <n v="2026"/>
  </r>
  <r>
    <x v="112"/>
    <s v="United States"/>
    <x v="1"/>
    <x v="4"/>
    <x v="3"/>
    <n v="839485"/>
    <n v="77"/>
    <n v="342"/>
    <n v="2.79"/>
    <n v="121506"/>
    <n v="51234"/>
    <n v="14.4"/>
    <s v="Yes"/>
    <n v="12.6"/>
    <n v="117.9"/>
    <n v="2026"/>
  </r>
  <r>
    <x v="113"/>
    <s v="United Kingdom"/>
    <x v="3"/>
    <x v="2"/>
    <x v="3"/>
    <n v="219160"/>
    <n v="49"/>
    <n v="288"/>
    <n v="1.35"/>
    <n v="63153"/>
    <n v="49708"/>
    <n v="18.2"/>
    <s v="No"/>
    <n v="42.9"/>
    <n v="227.9"/>
    <n v="2026"/>
  </r>
  <r>
    <x v="114"/>
    <s v="Germany"/>
    <x v="3"/>
    <x v="5"/>
    <x v="0"/>
    <n v="717518"/>
    <n v="41"/>
    <n v="609"/>
    <n v="1.5"/>
    <n v="103016"/>
    <n v="72910"/>
    <n v="19.8"/>
    <s v="No"/>
    <n v="15.5"/>
    <n v="289.3"/>
    <n v="2026"/>
  </r>
  <r>
    <x v="115"/>
    <s v="India"/>
    <x v="0"/>
    <x v="0"/>
    <x v="0"/>
    <n v="100369"/>
    <n v="43"/>
    <n v="476"/>
    <n v="2.61"/>
    <n v="120521"/>
    <n v="31730"/>
    <n v="20.399999999999999"/>
    <s v="Yes"/>
    <n v="28.5"/>
    <n v="45.6"/>
    <n v="2026"/>
  </r>
  <r>
    <x v="116"/>
    <s v="France"/>
    <x v="3"/>
    <x v="7"/>
    <x v="3"/>
    <n v="14355"/>
    <n v="55"/>
    <n v="615"/>
    <n v="2.14"/>
    <n v="84525"/>
    <n v="44533"/>
    <n v="21.3"/>
    <s v="Yes"/>
    <n v="10.199999999999999"/>
    <n v="288.8"/>
    <n v="2026"/>
  </r>
  <r>
    <x v="117"/>
    <s v="Japan"/>
    <x v="0"/>
    <x v="8"/>
    <x v="1"/>
    <n v="283024"/>
    <n v="105"/>
    <n v="534"/>
    <n v="1.17"/>
    <n v="180646"/>
    <n v="54362"/>
    <n v="14.4"/>
    <s v="No"/>
    <n v="42.4"/>
    <n v="296"/>
    <n v="2026"/>
  </r>
  <r>
    <x v="118"/>
    <s v="United Kingdom"/>
    <x v="3"/>
    <x v="6"/>
    <x v="0"/>
    <n v="603746"/>
    <n v="96"/>
    <n v="462"/>
    <n v="0.99"/>
    <n v="92037"/>
    <n v="76335"/>
    <n v="16.2"/>
    <s v="No"/>
    <n v="47.3"/>
    <n v="30"/>
    <n v="2026"/>
  </r>
  <r>
    <x v="119"/>
    <s v="India"/>
    <x v="0"/>
    <x v="1"/>
    <x v="2"/>
    <n v="377587"/>
    <n v="95"/>
    <n v="544"/>
    <n v="2.9"/>
    <n v="13476"/>
    <n v="45555"/>
    <n v="21.8"/>
    <s v="No"/>
    <n v="51"/>
    <n v="258.10000000000002"/>
    <n v="2026"/>
  </r>
  <r>
    <x v="120"/>
    <s v="India"/>
    <x v="0"/>
    <x v="7"/>
    <x v="3"/>
    <n v="269513"/>
    <n v="92"/>
    <n v="259"/>
    <n v="0.78"/>
    <n v="32294"/>
    <n v="56898"/>
    <n v="17.399999999999999"/>
    <s v="Yes"/>
    <n v="47.5"/>
    <n v="268.2"/>
    <n v="2026"/>
  </r>
  <r>
    <x v="121"/>
    <s v="United States"/>
    <x v="1"/>
    <x v="4"/>
    <x v="1"/>
    <n v="390308"/>
    <n v="57"/>
    <n v="391"/>
    <n v="0.71"/>
    <n v="44120"/>
    <n v="65976"/>
    <n v="18.100000000000001"/>
    <s v="Yes"/>
    <n v="64.599999999999994"/>
    <n v="160.69999999999999"/>
    <n v="2026"/>
  </r>
  <r>
    <x v="122"/>
    <s v="Australia"/>
    <x v="2"/>
    <x v="0"/>
    <x v="3"/>
    <n v="500293"/>
    <n v="111"/>
    <n v="502"/>
    <n v="0.82"/>
    <n v="98659"/>
    <n v="35812"/>
    <n v="20.6"/>
    <s v="Yes"/>
    <n v="26.1"/>
    <n v="235.8"/>
    <n v="2026"/>
  </r>
  <r>
    <x v="123"/>
    <s v="India"/>
    <x v="0"/>
    <x v="9"/>
    <x v="3"/>
    <n v="831320"/>
    <n v="113"/>
    <n v="334"/>
    <n v="2.06"/>
    <n v="83167"/>
    <n v="51759"/>
    <n v="18.899999999999999"/>
    <s v="Yes"/>
    <n v="33.4"/>
    <n v="241.8"/>
    <n v="2026"/>
  </r>
  <r>
    <x v="124"/>
    <s v="United States"/>
    <x v="1"/>
    <x v="5"/>
    <x v="0"/>
    <n v="232435"/>
    <n v="85"/>
    <n v="262"/>
    <n v="0.87"/>
    <n v="196381"/>
    <n v="75638"/>
    <n v="22"/>
    <s v="Yes"/>
    <n v="46.7"/>
    <n v="163"/>
    <n v="2026"/>
  </r>
  <r>
    <x v="125"/>
    <s v="Australia"/>
    <x v="2"/>
    <x v="7"/>
    <x v="0"/>
    <n v="794005"/>
    <n v="110"/>
    <n v="368"/>
    <n v="2.52"/>
    <n v="51036"/>
    <n v="56961"/>
    <n v="17.399999999999999"/>
    <s v="No"/>
    <n v="51"/>
    <n v="33.5"/>
    <n v="2026"/>
  </r>
  <r>
    <x v="126"/>
    <s v="China"/>
    <x v="0"/>
    <x v="8"/>
    <x v="1"/>
    <n v="415174"/>
    <n v="82"/>
    <n v="635"/>
    <n v="1.71"/>
    <n v="70475"/>
    <n v="29022"/>
    <n v="15.7"/>
    <s v="Yes"/>
    <n v="15.9"/>
    <n v="234.1"/>
    <n v="2026"/>
  </r>
  <r>
    <x v="127"/>
    <s v="France"/>
    <x v="3"/>
    <x v="9"/>
    <x v="2"/>
    <n v="898372"/>
    <n v="59"/>
    <n v="403"/>
    <n v="2.42"/>
    <n v="23441"/>
    <n v="52611"/>
    <n v="23.4"/>
    <s v="No"/>
    <n v="25"/>
    <n v="161.5"/>
    <n v="2026"/>
  </r>
  <r>
    <x v="128"/>
    <s v="France"/>
    <x v="3"/>
    <x v="9"/>
    <x v="1"/>
    <n v="23946"/>
    <n v="91"/>
    <n v="391"/>
    <n v="2.4700000000000002"/>
    <n v="58580"/>
    <n v="57412"/>
    <n v="20.100000000000001"/>
    <s v="No"/>
    <n v="25.2"/>
    <n v="82.3"/>
    <n v="2026"/>
  </r>
  <r>
    <x v="129"/>
    <s v="United States"/>
    <x v="1"/>
    <x v="8"/>
    <x v="2"/>
    <n v="81189"/>
    <n v="61"/>
    <n v="411"/>
    <n v="1.84"/>
    <n v="31047"/>
    <n v="80499"/>
    <n v="21.3"/>
    <s v="No"/>
    <n v="17.399999999999999"/>
    <n v="10.7"/>
    <n v="2026"/>
  </r>
  <r>
    <x v="130"/>
    <s v="France"/>
    <x v="3"/>
    <x v="1"/>
    <x v="2"/>
    <n v="821897"/>
    <n v="107"/>
    <n v="324"/>
    <n v="1.95"/>
    <n v="190092"/>
    <n v="68346"/>
    <n v="19.8"/>
    <s v="Yes"/>
    <n v="11.4"/>
    <n v="88.7"/>
    <n v="2026"/>
  </r>
  <r>
    <x v="131"/>
    <s v="Australia"/>
    <x v="2"/>
    <x v="1"/>
    <x v="1"/>
    <n v="414758"/>
    <n v="69"/>
    <n v="430"/>
    <n v="2.96"/>
    <n v="48540"/>
    <n v="75367"/>
    <n v="22.1"/>
    <s v="Yes"/>
    <n v="56.3"/>
    <n v="266.5"/>
    <n v="2026"/>
  </r>
  <r>
    <x v="132"/>
    <s v="Japan"/>
    <x v="0"/>
    <x v="5"/>
    <x v="2"/>
    <n v="181971"/>
    <n v="57"/>
    <n v="516"/>
    <n v="2.37"/>
    <n v="14608"/>
    <n v="59718"/>
    <n v="22.8"/>
    <s v="Yes"/>
    <n v="28.2"/>
    <n v="87.1"/>
    <n v="2026"/>
  </r>
  <r>
    <x v="133"/>
    <s v="Canada"/>
    <x v="1"/>
    <x v="4"/>
    <x v="1"/>
    <n v="561146"/>
    <n v="96"/>
    <n v="540"/>
    <n v="1.68"/>
    <n v="15959"/>
    <n v="51940"/>
    <n v="18.100000000000001"/>
    <s v="Yes"/>
    <n v="26.1"/>
    <n v="37.5"/>
    <n v="2026"/>
  </r>
  <r>
    <x v="134"/>
    <s v="United States"/>
    <x v="1"/>
    <x v="1"/>
    <x v="1"/>
    <n v="592537"/>
    <n v="62"/>
    <n v="585"/>
    <n v="1.24"/>
    <n v="141356"/>
    <n v="42474"/>
    <n v="13.2"/>
    <s v="Yes"/>
    <n v="20.5"/>
    <n v="75.599999999999994"/>
    <n v="2026"/>
  </r>
  <r>
    <x v="135"/>
    <s v="United States"/>
    <x v="1"/>
    <x v="2"/>
    <x v="1"/>
    <n v="316468"/>
    <n v="53"/>
    <n v="590"/>
    <n v="2.23"/>
    <n v="144879"/>
    <n v="32916"/>
    <n v="18.5"/>
    <s v="Yes"/>
    <n v="37.200000000000003"/>
    <n v="24.9"/>
    <n v="2026"/>
  </r>
  <r>
    <x v="136"/>
    <s v="India"/>
    <x v="0"/>
    <x v="8"/>
    <x v="2"/>
    <n v="211234"/>
    <n v="43"/>
    <n v="599"/>
    <n v="0.51"/>
    <n v="194795"/>
    <n v="35019"/>
    <n v="17.100000000000001"/>
    <s v="Yes"/>
    <n v="58.5"/>
    <n v="6.2"/>
    <n v="2026"/>
  </r>
  <r>
    <x v="137"/>
    <s v="Germany"/>
    <x v="3"/>
    <x v="4"/>
    <x v="2"/>
    <n v="369507"/>
    <n v="99"/>
    <n v="369"/>
    <n v="2.88"/>
    <n v="19285"/>
    <n v="83940"/>
    <n v="19.600000000000001"/>
    <s v="Yes"/>
    <n v="28.5"/>
    <n v="239.5"/>
    <n v="2026"/>
  </r>
  <r>
    <x v="138"/>
    <s v="India"/>
    <x v="0"/>
    <x v="3"/>
    <x v="2"/>
    <n v="6711"/>
    <n v="79"/>
    <n v="319"/>
    <n v="2.1"/>
    <n v="90588"/>
    <n v="66616"/>
    <n v="15.4"/>
    <s v="No"/>
    <n v="50.1"/>
    <n v="165.1"/>
    <n v="2026"/>
  </r>
  <r>
    <x v="139"/>
    <s v="Japan"/>
    <x v="0"/>
    <x v="8"/>
    <x v="1"/>
    <n v="869469"/>
    <n v="97"/>
    <n v="436"/>
    <n v="1.02"/>
    <n v="65981"/>
    <n v="62651"/>
    <n v="15.1"/>
    <s v="Yes"/>
    <n v="33.700000000000003"/>
    <n v="165.4"/>
    <n v="2026"/>
  </r>
  <r>
    <x v="140"/>
    <s v="China"/>
    <x v="0"/>
    <x v="4"/>
    <x v="3"/>
    <n v="626027"/>
    <n v="41"/>
    <n v="444"/>
    <n v="1"/>
    <n v="23121"/>
    <n v="83208"/>
    <n v="13.5"/>
    <s v="No"/>
    <n v="8"/>
    <n v="11.7"/>
    <n v="2026"/>
  </r>
  <r>
    <x v="141"/>
    <s v="China"/>
    <x v="0"/>
    <x v="3"/>
    <x v="3"/>
    <n v="205490"/>
    <n v="88"/>
    <n v="596"/>
    <n v="1.48"/>
    <n v="120161"/>
    <n v="75085"/>
    <n v="24.4"/>
    <s v="Yes"/>
    <n v="54"/>
    <n v="159.9"/>
    <n v="2026"/>
  </r>
  <r>
    <x v="142"/>
    <s v="China"/>
    <x v="0"/>
    <x v="7"/>
    <x v="3"/>
    <n v="726904"/>
    <n v="58"/>
    <n v="599"/>
    <n v="0.69"/>
    <n v="85835"/>
    <n v="61632"/>
    <n v="22.2"/>
    <s v="No"/>
    <n v="41.3"/>
    <n v="48.4"/>
    <n v="2026"/>
  </r>
  <r>
    <x v="143"/>
    <s v="France"/>
    <x v="3"/>
    <x v="6"/>
    <x v="0"/>
    <n v="427422"/>
    <n v="41"/>
    <n v="573"/>
    <n v="2.2400000000000002"/>
    <n v="6415"/>
    <n v="77473"/>
    <n v="13.6"/>
    <s v="Yes"/>
    <n v="53.9"/>
    <n v="108.2"/>
    <n v="2026"/>
  </r>
  <r>
    <x v="144"/>
    <s v="Germany"/>
    <x v="3"/>
    <x v="5"/>
    <x v="2"/>
    <n v="20665"/>
    <n v="73"/>
    <n v="488"/>
    <n v="1.51"/>
    <n v="46354"/>
    <n v="47706"/>
    <n v="14.2"/>
    <s v="No"/>
    <n v="54.4"/>
    <n v="6.5"/>
    <n v="2026"/>
  </r>
  <r>
    <x v="145"/>
    <s v="Canada"/>
    <x v="1"/>
    <x v="6"/>
    <x v="1"/>
    <n v="808035"/>
    <n v="100"/>
    <n v="257"/>
    <n v="1.04"/>
    <n v="166449"/>
    <n v="55951"/>
    <n v="24.1"/>
    <s v="No"/>
    <n v="54.1"/>
    <n v="132.1"/>
    <n v="2026"/>
  </r>
  <r>
    <x v="146"/>
    <s v="Germany"/>
    <x v="3"/>
    <x v="6"/>
    <x v="3"/>
    <n v="27517"/>
    <n v="84"/>
    <n v="341"/>
    <n v="1"/>
    <n v="53683"/>
    <n v="80628"/>
    <n v="14.8"/>
    <s v="Yes"/>
    <n v="63.5"/>
    <n v="194"/>
    <n v="2026"/>
  </r>
  <r>
    <x v="147"/>
    <s v="Japan"/>
    <x v="0"/>
    <x v="6"/>
    <x v="1"/>
    <n v="719045"/>
    <n v="104"/>
    <n v="503"/>
    <n v="2.72"/>
    <n v="51644"/>
    <n v="77063"/>
    <n v="12.6"/>
    <s v="No"/>
    <n v="29"/>
    <n v="259.10000000000002"/>
    <n v="2026"/>
  </r>
  <r>
    <x v="148"/>
    <s v="India"/>
    <x v="0"/>
    <x v="5"/>
    <x v="3"/>
    <n v="420242"/>
    <n v="77"/>
    <n v="474"/>
    <n v="2.41"/>
    <n v="185563"/>
    <n v="77701"/>
    <n v="21.5"/>
    <s v="Yes"/>
    <n v="37.9"/>
    <n v="67.599999999999994"/>
    <n v="2026"/>
  </r>
  <r>
    <x v="149"/>
    <s v="India"/>
    <x v="0"/>
    <x v="8"/>
    <x v="1"/>
    <n v="558455"/>
    <n v="76"/>
    <n v="464"/>
    <n v="2.96"/>
    <n v="146571"/>
    <n v="51639"/>
    <n v="21"/>
    <s v="No"/>
    <n v="61"/>
    <n v="14.9"/>
    <n v="2026"/>
  </r>
  <r>
    <x v="150"/>
    <s v="Norway"/>
    <x v="3"/>
    <x v="7"/>
    <x v="1"/>
    <n v="186218"/>
    <n v="114"/>
    <n v="396"/>
    <n v="1.1599999999999999"/>
    <n v="23550"/>
    <n v="69770"/>
    <n v="13.8"/>
    <s v="Yes"/>
    <n v="60.2"/>
    <n v="242.7"/>
    <n v="2026"/>
  </r>
  <r>
    <x v="151"/>
    <s v="Japan"/>
    <x v="0"/>
    <x v="0"/>
    <x v="0"/>
    <n v="729972"/>
    <n v="45"/>
    <n v="475"/>
    <n v="1.49"/>
    <n v="92944"/>
    <n v="84382"/>
    <n v="24.2"/>
    <s v="No"/>
    <n v="21.3"/>
    <n v="227"/>
    <n v="2026"/>
  </r>
  <r>
    <x v="152"/>
    <s v="Japan"/>
    <x v="0"/>
    <x v="8"/>
    <x v="3"/>
    <n v="722718"/>
    <n v="110"/>
    <n v="281"/>
    <n v="1.1399999999999999"/>
    <n v="10093"/>
    <n v="69511"/>
    <n v="13.4"/>
    <s v="Yes"/>
    <n v="26.8"/>
    <n v="194.7"/>
    <n v="2026"/>
  </r>
  <r>
    <x v="153"/>
    <s v="Canada"/>
    <x v="1"/>
    <x v="3"/>
    <x v="3"/>
    <n v="611341"/>
    <n v="103"/>
    <n v="460"/>
    <n v="2.19"/>
    <n v="110857"/>
    <n v="43696"/>
    <n v="16.5"/>
    <s v="Yes"/>
    <n v="18.399999999999999"/>
    <n v="135.4"/>
    <n v="2026"/>
  </r>
  <r>
    <x v="154"/>
    <s v="United States"/>
    <x v="1"/>
    <x v="1"/>
    <x v="0"/>
    <n v="85528"/>
    <n v="45"/>
    <n v="597"/>
    <n v="1.74"/>
    <n v="31189"/>
    <n v="43595"/>
    <n v="18.399999999999999"/>
    <s v="Yes"/>
    <n v="29.5"/>
    <n v="229.5"/>
    <n v="2026"/>
  </r>
  <r>
    <x v="155"/>
    <s v="Canada"/>
    <x v="1"/>
    <x v="3"/>
    <x v="0"/>
    <n v="611818"/>
    <n v="48"/>
    <n v="365"/>
    <n v="2.97"/>
    <n v="123578"/>
    <n v="78297"/>
    <n v="13.1"/>
    <s v="No"/>
    <n v="38.4"/>
    <n v="190"/>
    <n v="2026"/>
  </r>
  <r>
    <x v="156"/>
    <s v="India"/>
    <x v="0"/>
    <x v="6"/>
    <x v="0"/>
    <n v="47081"/>
    <n v="66"/>
    <n v="521"/>
    <n v="2.5499999999999998"/>
    <n v="167170"/>
    <n v="76429"/>
    <n v="16.899999999999999"/>
    <s v="Yes"/>
    <n v="39.9"/>
    <n v="45.7"/>
    <n v="2026"/>
  </r>
  <r>
    <x v="157"/>
    <s v="France"/>
    <x v="3"/>
    <x v="0"/>
    <x v="0"/>
    <n v="184166"/>
    <n v="84"/>
    <n v="645"/>
    <n v="1.78"/>
    <n v="57265"/>
    <n v="63878"/>
    <n v="17.5"/>
    <s v="No"/>
    <n v="16.100000000000001"/>
    <n v="202.7"/>
    <n v="2026"/>
  </r>
  <r>
    <x v="158"/>
    <s v="Australia"/>
    <x v="2"/>
    <x v="3"/>
    <x v="2"/>
    <n v="814063"/>
    <n v="111"/>
    <n v="521"/>
    <n v="1.38"/>
    <n v="94169"/>
    <n v="69566"/>
    <n v="16.5"/>
    <s v="No"/>
    <n v="12.5"/>
    <n v="97.6"/>
    <n v="2026"/>
  </r>
  <r>
    <x v="159"/>
    <s v="Japan"/>
    <x v="0"/>
    <x v="6"/>
    <x v="1"/>
    <n v="651107"/>
    <n v="65"/>
    <n v="361"/>
    <n v="0.57999999999999996"/>
    <n v="86094"/>
    <n v="37853"/>
    <n v="19.2"/>
    <s v="Yes"/>
    <n v="38.700000000000003"/>
    <n v="227.8"/>
    <n v="2026"/>
  </r>
  <r>
    <x v="160"/>
    <s v="China"/>
    <x v="0"/>
    <x v="8"/>
    <x v="0"/>
    <n v="870843"/>
    <n v="46"/>
    <n v="479"/>
    <n v="0.91"/>
    <n v="119404"/>
    <n v="44007"/>
    <n v="18.3"/>
    <s v="No"/>
    <n v="51.7"/>
    <n v="120.8"/>
    <n v="2026"/>
  </r>
  <r>
    <x v="161"/>
    <s v="India"/>
    <x v="0"/>
    <x v="6"/>
    <x v="3"/>
    <n v="18296"/>
    <n v="71"/>
    <n v="487"/>
    <n v="2.65"/>
    <n v="121536"/>
    <n v="48619"/>
    <n v="14.2"/>
    <s v="Yes"/>
    <n v="7.6"/>
    <n v="153.19999999999999"/>
    <n v="2026"/>
  </r>
  <r>
    <x v="162"/>
    <s v="United Kingdom"/>
    <x v="3"/>
    <x v="0"/>
    <x v="3"/>
    <n v="129310"/>
    <n v="60"/>
    <n v="395"/>
    <n v="2.2000000000000002"/>
    <n v="84986"/>
    <n v="73696"/>
    <n v="18.2"/>
    <s v="Yes"/>
    <n v="55.1"/>
    <n v="122.1"/>
    <n v="2026"/>
  </r>
  <r>
    <x v="163"/>
    <s v="Norway"/>
    <x v="3"/>
    <x v="6"/>
    <x v="2"/>
    <n v="329843"/>
    <n v="84"/>
    <n v="480"/>
    <n v="0.61"/>
    <n v="198417"/>
    <n v="39321"/>
    <n v="12.9"/>
    <s v="No"/>
    <n v="46.4"/>
    <n v="143.6"/>
    <n v="2026"/>
  </r>
  <r>
    <x v="164"/>
    <s v="Canada"/>
    <x v="1"/>
    <x v="8"/>
    <x v="3"/>
    <n v="469644"/>
    <n v="86"/>
    <n v="368"/>
    <n v="2.87"/>
    <n v="181249"/>
    <n v="59485"/>
    <n v="18.399999999999999"/>
    <s v="Yes"/>
    <n v="14.3"/>
    <n v="59.9"/>
    <n v="2026"/>
  </r>
  <r>
    <x v="165"/>
    <s v="China"/>
    <x v="0"/>
    <x v="3"/>
    <x v="3"/>
    <n v="132985"/>
    <n v="86"/>
    <n v="577"/>
    <n v="1.05"/>
    <n v="114487"/>
    <n v="84403"/>
    <n v="24.5"/>
    <s v="Yes"/>
    <n v="51.6"/>
    <n v="116"/>
    <n v="2026"/>
  </r>
  <r>
    <x v="166"/>
    <s v="United States"/>
    <x v="1"/>
    <x v="7"/>
    <x v="0"/>
    <n v="367510"/>
    <n v="82"/>
    <n v="386"/>
    <n v="2.85"/>
    <n v="99625"/>
    <n v="27037"/>
    <n v="13"/>
    <s v="Yes"/>
    <n v="6.5"/>
    <n v="49.1"/>
    <n v="2026"/>
  </r>
  <r>
    <x v="167"/>
    <s v="Norway"/>
    <x v="3"/>
    <x v="5"/>
    <x v="0"/>
    <n v="134546"/>
    <n v="95"/>
    <n v="465"/>
    <n v="2.1"/>
    <n v="165820"/>
    <n v="26649"/>
    <n v="19.3"/>
    <s v="Yes"/>
    <n v="38.1"/>
    <n v="200.9"/>
    <n v="2026"/>
  </r>
  <r>
    <x v="168"/>
    <s v="Canada"/>
    <x v="1"/>
    <x v="9"/>
    <x v="2"/>
    <n v="668262"/>
    <n v="72"/>
    <n v="367"/>
    <n v="1.19"/>
    <n v="1875"/>
    <n v="32259"/>
    <n v="17.2"/>
    <s v="No"/>
    <n v="62.5"/>
    <n v="291.89999999999998"/>
    <n v="2026"/>
  </r>
  <r>
    <x v="169"/>
    <s v="Norway"/>
    <x v="3"/>
    <x v="8"/>
    <x v="1"/>
    <n v="706868"/>
    <n v="44"/>
    <n v="586"/>
    <n v="0.51"/>
    <n v="40152"/>
    <n v="31620"/>
    <n v="16.7"/>
    <s v="Yes"/>
    <n v="53.5"/>
    <n v="50.8"/>
    <n v="2026"/>
  </r>
  <r>
    <x v="170"/>
    <s v="United Kingdom"/>
    <x v="3"/>
    <x v="7"/>
    <x v="2"/>
    <n v="277890"/>
    <n v="102"/>
    <n v="535"/>
    <n v="2.5499999999999998"/>
    <n v="166452"/>
    <n v="60618"/>
    <n v="15"/>
    <s v="Yes"/>
    <n v="15.8"/>
    <n v="33.1"/>
    <n v="2026"/>
  </r>
  <r>
    <x v="171"/>
    <s v="France"/>
    <x v="3"/>
    <x v="5"/>
    <x v="1"/>
    <n v="677995"/>
    <n v="50"/>
    <n v="521"/>
    <n v="1.84"/>
    <n v="172402"/>
    <n v="79435"/>
    <n v="18.600000000000001"/>
    <s v="No"/>
    <n v="32.9"/>
    <n v="266.8"/>
    <n v="2026"/>
  </r>
  <r>
    <x v="172"/>
    <s v="United States"/>
    <x v="1"/>
    <x v="3"/>
    <x v="2"/>
    <n v="22460"/>
    <n v="108"/>
    <n v="593"/>
    <n v="1.91"/>
    <n v="74481"/>
    <n v="28573"/>
    <n v="23.1"/>
    <s v="Yes"/>
    <n v="33.5"/>
    <n v="94.4"/>
    <n v="2026"/>
  </r>
  <r>
    <x v="173"/>
    <s v="Canada"/>
    <x v="1"/>
    <x v="0"/>
    <x v="1"/>
    <n v="178873"/>
    <n v="49"/>
    <n v="486"/>
    <n v="1.41"/>
    <n v="113907"/>
    <n v="44656"/>
    <n v="14.8"/>
    <s v="No"/>
    <n v="31.8"/>
    <n v="31.4"/>
    <n v="2026"/>
  </r>
  <r>
    <x v="174"/>
    <s v="Australia"/>
    <x v="2"/>
    <x v="6"/>
    <x v="0"/>
    <n v="265740"/>
    <n v="116"/>
    <n v="348"/>
    <n v="0.89"/>
    <n v="79396"/>
    <n v="84907"/>
    <n v="14.2"/>
    <s v="No"/>
    <n v="10.6"/>
    <n v="63.1"/>
    <n v="2026"/>
  </r>
  <r>
    <x v="175"/>
    <s v="Norway"/>
    <x v="3"/>
    <x v="5"/>
    <x v="0"/>
    <n v="828627"/>
    <n v="70"/>
    <n v="250"/>
    <n v="1.47"/>
    <n v="45177"/>
    <n v="49731"/>
    <n v="18.2"/>
    <s v="Yes"/>
    <n v="7.4"/>
    <n v="258.89999999999998"/>
    <n v="2026"/>
  </r>
  <r>
    <x v="176"/>
    <s v="China"/>
    <x v="0"/>
    <x v="6"/>
    <x v="0"/>
    <n v="891501"/>
    <n v="44"/>
    <n v="431"/>
    <n v="1.04"/>
    <n v="155878"/>
    <n v="82329"/>
    <n v="19.899999999999999"/>
    <s v="Yes"/>
    <n v="40.299999999999997"/>
    <n v="53.8"/>
    <n v="2026"/>
  </r>
  <r>
    <x v="177"/>
    <s v="Canada"/>
    <x v="1"/>
    <x v="7"/>
    <x v="3"/>
    <n v="449004"/>
    <n v="74"/>
    <n v="297"/>
    <n v="2.15"/>
    <n v="44872"/>
    <n v="38500"/>
    <n v="18.8"/>
    <s v="No"/>
    <n v="30.3"/>
    <n v="74"/>
    <n v="2026"/>
  </r>
  <r>
    <x v="178"/>
    <s v="India"/>
    <x v="0"/>
    <x v="8"/>
    <x v="0"/>
    <n v="796800"/>
    <n v="75"/>
    <n v="410"/>
    <n v="0.99"/>
    <n v="126476"/>
    <n v="39965"/>
    <n v="12.7"/>
    <s v="No"/>
    <n v="38.5"/>
    <n v="145.80000000000001"/>
    <n v="2026"/>
  </r>
  <r>
    <x v="179"/>
    <s v="India"/>
    <x v="0"/>
    <x v="0"/>
    <x v="3"/>
    <n v="514787"/>
    <n v="100"/>
    <n v="490"/>
    <n v="1.26"/>
    <n v="187276"/>
    <n v="55136"/>
    <n v="13.4"/>
    <s v="No"/>
    <n v="42.7"/>
    <n v="294.3"/>
    <n v="2026"/>
  </r>
  <r>
    <x v="180"/>
    <s v="India"/>
    <x v="0"/>
    <x v="4"/>
    <x v="3"/>
    <n v="639442"/>
    <n v="76"/>
    <n v="350"/>
    <n v="2.77"/>
    <n v="194916"/>
    <n v="51481"/>
    <n v="21.5"/>
    <s v="No"/>
    <n v="15.6"/>
    <n v="98.3"/>
    <n v="2026"/>
  </r>
  <r>
    <x v="181"/>
    <s v="Germany"/>
    <x v="3"/>
    <x v="8"/>
    <x v="0"/>
    <n v="312374"/>
    <n v="61"/>
    <n v="592"/>
    <n v="1.02"/>
    <n v="96851"/>
    <n v="70994"/>
    <n v="12.9"/>
    <s v="Yes"/>
    <n v="31.4"/>
    <n v="173.6"/>
    <n v="2026"/>
  </r>
  <r>
    <x v="182"/>
    <s v="United States"/>
    <x v="1"/>
    <x v="8"/>
    <x v="1"/>
    <n v="101821"/>
    <n v="116"/>
    <n v="425"/>
    <n v="1.4"/>
    <n v="6993"/>
    <n v="54591"/>
    <n v="19.3"/>
    <s v="Yes"/>
    <n v="18.399999999999999"/>
    <n v="280.60000000000002"/>
    <n v="2026"/>
  </r>
  <r>
    <x v="183"/>
    <s v="China"/>
    <x v="0"/>
    <x v="6"/>
    <x v="3"/>
    <n v="641246"/>
    <n v="68"/>
    <n v="627"/>
    <n v="0.9"/>
    <n v="78713"/>
    <n v="54890"/>
    <n v="21.1"/>
    <s v="No"/>
    <n v="57.6"/>
    <n v="260.5"/>
    <n v="2026"/>
  </r>
  <r>
    <x v="184"/>
    <s v="United States"/>
    <x v="1"/>
    <x v="1"/>
    <x v="3"/>
    <n v="750978"/>
    <n v="54"/>
    <n v="428"/>
    <n v="2.17"/>
    <n v="45860"/>
    <n v="82831"/>
    <n v="21.8"/>
    <s v="Yes"/>
    <n v="37"/>
    <n v="280.39999999999998"/>
    <n v="2026"/>
  </r>
  <r>
    <x v="185"/>
    <s v="United States"/>
    <x v="1"/>
    <x v="3"/>
    <x v="0"/>
    <n v="570924"/>
    <n v="106"/>
    <n v="398"/>
    <n v="2.5299999999999998"/>
    <n v="82632"/>
    <n v="82307"/>
    <n v="13.6"/>
    <s v="No"/>
    <n v="33.9"/>
    <n v="76.900000000000006"/>
    <n v="2026"/>
  </r>
  <r>
    <x v="186"/>
    <s v="Japan"/>
    <x v="0"/>
    <x v="5"/>
    <x v="3"/>
    <n v="473737"/>
    <n v="86"/>
    <n v="432"/>
    <n v="2.2200000000000002"/>
    <n v="51277"/>
    <n v="64840"/>
    <n v="13.1"/>
    <s v="No"/>
    <n v="13.1"/>
    <n v="80.2"/>
    <n v="2026"/>
  </r>
  <r>
    <x v="187"/>
    <s v="United States"/>
    <x v="1"/>
    <x v="2"/>
    <x v="3"/>
    <n v="496303"/>
    <n v="103"/>
    <n v="455"/>
    <n v="1.01"/>
    <n v="65111"/>
    <n v="59897"/>
    <n v="23.5"/>
    <s v="Yes"/>
    <n v="57.4"/>
    <n v="23.6"/>
    <n v="2026"/>
  </r>
  <r>
    <x v="188"/>
    <s v="Japan"/>
    <x v="0"/>
    <x v="1"/>
    <x v="1"/>
    <n v="509103"/>
    <n v="109"/>
    <n v="348"/>
    <n v="0.83"/>
    <n v="125769"/>
    <n v="69248"/>
    <n v="15.1"/>
    <s v="No"/>
    <n v="9.6999999999999993"/>
    <n v="259.10000000000002"/>
    <n v="2026"/>
  </r>
  <r>
    <x v="189"/>
    <s v="United States"/>
    <x v="1"/>
    <x v="8"/>
    <x v="1"/>
    <n v="871023"/>
    <n v="47"/>
    <n v="602"/>
    <n v="1.59"/>
    <n v="187038"/>
    <n v="82564"/>
    <n v="12.9"/>
    <s v="No"/>
    <n v="33"/>
    <n v="266.3"/>
    <n v="2026"/>
  </r>
  <r>
    <x v="190"/>
    <s v="Canada"/>
    <x v="1"/>
    <x v="5"/>
    <x v="0"/>
    <n v="290033"/>
    <n v="66"/>
    <n v="382"/>
    <n v="2.44"/>
    <n v="106937"/>
    <n v="36638"/>
    <n v="24.1"/>
    <s v="Yes"/>
    <n v="60.6"/>
    <n v="272.2"/>
    <n v="2026"/>
  </r>
  <r>
    <x v="191"/>
    <s v="China"/>
    <x v="0"/>
    <x v="2"/>
    <x v="0"/>
    <n v="55289"/>
    <n v="75"/>
    <n v="317"/>
    <n v="1.9"/>
    <n v="105574"/>
    <n v="72463"/>
    <n v="23.8"/>
    <s v="No"/>
    <n v="7"/>
    <n v="285.89999999999998"/>
    <n v="2026"/>
  </r>
  <r>
    <x v="192"/>
    <s v="United Kingdom"/>
    <x v="3"/>
    <x v="8"/>
    <x v="1"/>
    <n v="696630"/>
    <n v="79"/>
    <n v="506"/>
    <n v="2.59"/>
    <n v="194260"/>
    <n v="52815"/>
    <n v="20.9"/>
    <s v="Yes"/>
    <n v="14.5"/>
    <n v="11.2"/>
    <n v="2026"/>
  </r>
  <r>
    <x v="193"/>
    <s v="Japan"/>
    <x v="0"/>
    <x v="8"/>
    <x v="3"/>
    <n v="62281"/>
    <n v="109"/>
    <n v="468"/>
    <n v="1.92"/>
    <n v="86471"/>
    <n v="43824"/>
    <n v="23.2"/>
    <s v="No"/>
    <n v="35.4"/>
    <n v="51.9"/>
    <n v="2026"/>
  </r>
  <r>
    <x v="194"/>
    <s v="Japan"/>
    <x v="0"/>
    <x v="2"/>
    <x v="0"/>
    <n v="437639"/>
    <n v="91"/>
    <n v="307"/>
    <n v="2.35"/>
    <n v="189792"/>
    <n v="50089"/>
    <n v="13"/>
    <s v="Yes"/>
    <n v="52.5"/>
    <n v="103.4"/>
    <n v="2026"/>
  </r>
  <r>
    <x v="195"/>
    <s v="Germany"/>
    <x v="3"/>
    <x v="2"/>
    <x v="1"/>
    <n v="475018"/>
    <n v="41"/>
    <n v="430"/>
    <n v="2.83"/>
    <n v="91334"/>
    <n v="59960"/>
    <n v="22.4"/>
    <s v="No"/>
    <n v="22.2"/>
    <n v="50.2"/>
    <n v="2026"/>
  </r>
  <r>
    <x v="196"/>
    <s v="Germany"/>
    <x v="3"/>
    <x v="5"/>
    <x v="0"/>
    <n v="452949"/>
    <n v="118"/>
    <n v="320"/>
    <n v="2.04"/>
    <n v="87016"/>
    <n v="80200"/>
    <n v="12.9"/>
    <s v="No"/>
    <n v="8.3000000000000007"/>
    <n v="44.8"/>
    <n v="2026"/>
  </r>
  <r>
    <x v="197"/>
    <s v="Japan"/>
    <x v="0"/>
    <x v="7"/>
    <x v="1"/>
    <n v="675314"/>
    <n v="58"/>
    <n v="376"/>
    <n v="2.37"/>
    <n v="61519"/>
    <n v="71802"/>
    <n v="15.6"/>
    <s v="Yes"/>
    <n v="28.6"/>
    <n v="168.2"/>
    <n v="2026"/>
  </r>
  <r>
    <x v="198"/>
    <s v="Australia"/>
    <x v="2"/>
    <x v="0"/>
    <x v="1"/>
    <n v="227504"/>
    <n v="72"/>
    <n v="295"/>
    <n v="1.53"/>
    <n v="69483"/>
    <n v="74742"/>
    <n v="23.7"/>
    <s v="Yes"/>
    <n v="6.5"/>
    <n v="249.1"/>
    <n v="2026"/>
  </r>
  <r>
    <x v="199"/>
    <s v="Norway"/>
    <x v="3"/>
    <x v="4"/>
    <x v="1"/>
    <n v="407921"/>
    <n v="90"/>
    <n v="611"/>
    <n v="2.2000000000000002"/>
    <n v="160244"/>
    <n v="45993"/>
    <n v="23.8"/>
    <s v="No"/>
    <n v="9.1999999999999993"/>
    <n v="69"/>
    <n v="2026"/>
  </r>
  <r>
    <x v="200"/>
    <s v="China"/>
    <x v="0"/>
    <x v="4"/>
    <x v="0"/>
    <n v="519998"/>
    <n v="95"/>
    <n v="465"/>
    <n v="1.73"/>
    <n v="126475"/>
    <n v="61598"/>
    <n v="14.7"/>
    <s v="No"/>
    <n v="43"/>
    <n v="170.7"/>
    <n v="2026"/>
  </r>
  <r>
    <x v="201"/>
    <s v="United Kingdom"/>
    <x v="3"/>
    <x v="5"/>
    <x v="2"/>
    <n v="655026"/>
    <n v="117"/>
    <n v="253"/>
    <n v="1.7"/>
    <n v="175576"/>
    <n v="47878"/>
    <n v="24.4"/>
    <s v="No"/>
    <n v="62.1"/>
    <n v="115.2"/>
    <n v="2026"/>
  </r>
  <r>
    <x v="202"/>
    <s v="India"/>
    <x v="0"/>
    <x v="8"/>
    <x v="3"/>
    <n v="592869"/>
    <n v="73"/>
    <n v="493"/>
    <n v="1.7"/>
    <n v="129984"/>
    <n v="65673"/>
    <n v="15"/>
    <s v="No"/>
    <n v="61.7"/>
    <n v="145.19999999999999"/>
    <n v="2026"/>
  </r>
  <r>
    <x v="203"/>
    <s v="Germany"/>
    <x v="3"/>
    <x v="3"/>
    <x v="1"/>
    <n v="533267"/>
    <n v="54"/>
    <n v="545"/>
    <n v="1.83"/>
    <n v="100909"/>
    <n v="51126"/>
    <n v="16.8"/>
    <s v="No"/>
    <n v="48.1"/>
    <n v="222.5"/>
    <n v="2026"/>
  </r>
  <r>
    <x v="204"/>
    <s v="Norway"/>
    <x v="3"/>
    <x v="1"/>
    <x v="1"/>
    <n v="319077"/>
    <n v="49"/>
    <n v="601"/>
    <n v="1.87"/>
    <n v="83379"/>
    <n v="38213"/>
    <n v="15.9"/>
    <s v="No"/>
    <n v="12.6"/>
    <n v="57.6"/>
    <n v="2026"/>
  </r>
  <r>
    <x v="205"/>
    <s v="Germany"/>
    <x v="3"/>
    <x v="9"/>
    <x v="3"/>
    <n v="851189"/>
    <n v="78"/>
    <n v="434"/>
    <n v="1.38"/>
    <n v="70252"/>
    <n v="72888"/>
    <n v="24.7"/>
    <s v="No"/>
    <n v="61.1"/>
    <n v="45.7"/>
    <n v="2026"/>
  </r>
  <r>
    <x v="206"/>
    <s v="United Kingdom"/>
    <x v="3"/>
    <x v="3"/>
    <x v="1"/>
    <n v="496039"/>
    <n v="108"/>
    <n v="292"/>
    <n v="1.06"/>
    <n v="58358"/>
    <n v="81266"/>
    <n v="24.8"/>
    <s v="Yes"/>
    <n v="18"/>
    <n v="168.8"/>
    <n v="2026"/>
  </r>
  <r>
    <x v="207"/>
    <s v="China"/>
    <x v="0"/>
    <x v="2"/>
    <x v="2"/>
    <n v="622226"/>
    <n v="50"/>
    <n v="374"/>
    <n v="2.42"/>
    <n v="137629"/>
    <n v="34898"/>
    <n v="24.8"/>
    <s v="Yes"/>
    <n v="55.4"/>
    <n v="232.8"/>
    <n v="2026"/>
  </r>
  <r>
    <x v="208"/>
    <s v="United Kingdom"/>
    <x v="3"/>
    <x v="0"/>
    <x v="3"/>
    <n v="69474"/>
    <n v="46"/>
    <n v="393"/>
    <n v="1.75"/>
    <n v="54097"/>
    <n v="39080"/>
    <n v="18.3"/>
    <s v="No"/>
    <n v="34.6"/>
    <n v="107.6"/>
    <n v="2026"/>
  </r>
  <r>
    <x v="209"/>
    <s v="Australia"/>
    <x v="2"/>
    <x v="0"/>
    <x v="1"/>
    <n v="231386"/>
    <n v="108"/>
    <n v="496"/>
    <n v="2.1800000000000002"/>
    <n v="4297"/>
    <n v="57436"/>
    <n v="15.7"/>
    <s v="No"/>
    <n v="46.5"/>
    <n v="250.5"/>
    <n v="2026"/>
  </r>
  <r>
    <x v="210"/>
    <s v="Australia"/>
    <x v="2"/>
    <x v="4"/>
    <x v="3"/>
    <n v="188296"/>
    <n v="98"/>
    <n v="339"/>
    <n v="0.59"/>
    <n v="16116"/>
    <n v="67728"/>
    <n v="15.7"/>
    <s v="Yes"/>
    <n v="62.8"/>
    <n v="279.7"/>
    <n v="2026"/>
  </r>
  <r>
    <x v="211"/>
    <s v="United Kingdom"/>
    <x v="3"/>
    <x v="4"/>
    <x v="1"/>
    <n v="767062"/>
    <n v="96"/>
    <n v="269"/>
    <n v="2.4700000000000002"/>
    <n v="155321"/>
    <n v="63340"/>
    <n v="13.6"/>
    <s v="No"/>
    <n v="31.4"/>
    <n v="200.8"/>
    <n v="2026"/>
  </r>
  <r>
    <x v="212"/>
    <s v="Germany"/>
    <x v="3"/>
    <x v="9"/>
    <x v="2"/>
    <n v="380687"/>
    <n v="86"/>
    <n v="417"/>
    <n v="1.1200000000000001"/>
    <n v="171273"/>
    <n v="75163"/>
    <n v="14"/>
    <s v="Yes"/>
    <n v="24.1"/>
    <n v="51.5"/>
    <n v="2026"/>
  </r>
  <r>
    <x v="213"/>
    <s v="Canada"/>
    <x v="1"/>
    <x v="0"/>
    <x v="2"/>
    <n v="399379"/>
    <n v="44"/>
    <n v="312"/>
    <n v="2.15"/>
    <n v="37727"/>
    <n v="70060"/>
    <n v="16.2"/>
    <s v="No"/>
    <n v="38.6"/>
    <n v="155.6"/>
    <n v="2026"/>
  </r>
  <r>
    <x v="214"/>
    <s v="China"/>
    <x v="0"/>
    <x v="7"/>
    <x v="3"/>
    <n v="41652"/>
    <n v="118"/>
    <n v="521"/>
    <n v="2.34"/>
    <n v="182118"/>
    <n v="43524"/>
    <n v="22.9"/>
    <s v="Yes"/>
    <n v="52.9"/>
    <n v="269.39999999999998"/>
    <n v="2026"/>
  </r>
  <r>
    <x v="215"/>
    <s v="Germany"/>
    <x v="3"/>
    <x v="9"/>
    <x v="3"/>
    <n v="476701"/>
    <n v="68"/>
    <n v="378"/>
    <n v="1.53"/>
    <n v="115470"/>
    <n v="59327"/>
    <n v="24.8"/>
    <s v="No"/>
    <n v="26"/>
    <n v="165"/>
    <n v="2026"/>
  </r>
  <r>
    <x v="216"/>
    <s v="Australia"/>
    <x v="2"/>
    <x v="2"/>
    <x v="1"/>
    <n v="785616"/>
    <n v="63"/>
    <n v="603"/>
    <n v="2.02"/>
    <n v="112148"/>
    <n v="70456"/>
    <n v="16.100000000000001"/>
    <s v="Yes"/>
    <n v="15.5"/>
    <n v="114.5"/>
    <n v="2026"/>
  </r>
  <r>
    <x v="217"/>
    <s v="Australia"/>
    <x v="2"/>
    <x v="0"/>
    <x v="0"/>
    <n v="53037"/>
    <n v="111"/>
    <n v="609"/>
    <n v="2.68"/>
    <n v="123706"/>
    <n v="28135"/>
    <n v="13.7"/>
    <s v="No"/>
    <n v="36.4"/>
    <n v="70.5"/>
    <n v="2026"/>
  </r>
  <r>
    <x v="218"/>
    <s v="China"/>
    <x v="0"/>
    <x v="1"/>
    <x v="0"/>
    <n v="500550"/>
    <n v="66"/>
    <n v="442"/>
    <n v="1.6"/>
    <n v="67947"/>
    <n v="52504"/>
    <n v="19"/>
    <s v="No"/>
    <n v="26"/>
    <n v="154.69999999999999"/>
    <n v="2026"/>
  </r>
  <r>
    <x v="219"/>
    <s v="China"/>
    <x v="0"/>
    <x v="8"/>
    <x v="1"/>
    <n v="429468"/>
    <n v="97"/>
    <n v="474"/>
    <n v="1.73"/>
    <n v="46353"/>
    <n v="66112"/>
    <n v="22.6"/>
    <s v="No"/>
    <n v="24.8"/>
    <n v="199.4"/>
    <n v="2026"/>
  </r>
  <r>
    <x v="220"/>
    <s v="India"/>
    <x v="0"/>
    <x v="9"/>
    <x v="2"/>
    <n v="711885"/>
    <n v="83"/>
    <n v="252"/>
    <n v="1.53"/>
    <n v="176070"/>
    <n v="82555"/>
    <n v="23.8"/>
    <s v="Yes"/>
    <n v="51"/>
    <n v="215.5"/>
    <n v="2026"/>
  </r>
  <r>
    <x v="221"/>
    <s v="United Kingdom"/>
    <x v="3"/>
    <x v="3"/>
    <x v="2"/>
    <n v="715571"/>
    <n v="91"/>
    <n v="533"/>
    <n v="2.63"/>
    <n v="157383"/>
    <n v="81489"/>
    <n v="16.3"/>
    <s v="No"/>
    <n v="23.3"/>
    <n v="280.2"/>
    <n v="2026"/>
  </r>
  <r>
    <x v="222"/>
    <s v="Germany"/>
    <x v="3"/>
    <x v="0"/>
    <x v="2"/>
    <n v="181794"/>
    <n v="86"/>
    <n v="553"/>
    <n v="1"/>
    <n v="132527"/>
    <n v="35981"/>
    <n v="15.4"/>
    <s v="No"/>
    <n v="45.9"/>
    <n v="91.3"/>
    <n v="2026"/>
  </r>
  <r>
    <x v="223"/>
    <s v="Canada"/>
    <x v="1"/>
    <x v="6"/>
    <x v="1"/>
    <n v="615616"/>
    <n v="46"/>
    <n v="566"/>
    <n v="0.56000000000000005"/>
    <n v="46014"/>
    <n v="73457"/>
    <n v="12.3"/>
    <s v="Yes"/>
    <n v="18"/>
    <n v="207.3"/>
    <n v="2026"/>
  </r>
  <r>
    <x v="224"/>
    <s v="France"/>
    <x v="3"/>
    <x v="3"/>
    <x v="1"/>
    <n v="434720"/>
    <n v="96"/>
    <n v="344"/>
    <n v="0.59"/>
    <n v="126192"/>
    <n v="44029"/>
    <n v="16.399999999999999"/>
    <s v="No"/>
    <n v="54.9"/>
    <n v="161.4"/>
    <n v="2026"/>
  </r>
  <r>
    <x v="225"/>
    <s v="Canada"/>
    <x v="1"/>
    <x v="8"/>
    <x v="2"/>
    <n v="404898"/>
    <n v="79"/>
    <n v="456"/>
    <n v="0.99"/>
    <n v="75529"/>
    <n v="65942"/>
    <n v="23.8"/>
    <s v="No"/>
    <n v="51.5"/>
    <n v="230.4"/>
    <n v="2026"/>
  </r>
  <r>
    <x v="226"/>
    <s v="India"/>
    <x v="0"/>
    <x v="2"/>
    <x v="1"/>
    <n v="785439"/>
    <n v="64"/>
    <n v="350"/>
    <n v="2.42"/>
    <n v="82012"/>
    <n v="65973"/>
    <n v="17"/>
    <s v="No"/>
    <n v="39.200000000000003"/>
    <n v="150.1"/>
    <n v="2026"/>
  </r>
  <r>
    <x v="227"/>
    <s v="Australia"/>
    <x v="2"/>
    <x v="3"/>
    <x v="2"/>
    <n v="260514"/>
    <n v="108"/>
    <n v="394"/>
    <n v="0.66"/>
    <n v="173823"/>
    <n v="39080"/>
    <n v="18.2"/>
    <s v="Yes"/>
    <n v="10.7"/>
    <n v="192.9"/>
    <n v="2026"/>
  </r>
  <r>
    <x v="228"/>
    <s v="Japan"/>
    <x v="0"/>
    <x v="8"/>
    <x v="3"/>
    <n v="57820"/>
    <n v="80"/>
    <n v="538"/>
    <n v="1.43"/>
    <n v="55523"/>
    <n v="77124"/>
    <n v="22.1"/>
    <s v="Yes"/>
    <n v="45.5"/>
    <n v="255"/>
    <n v="2026"/>
  </r>
  <r>
    <x v="229"/>
    <s v="Australia"/>
    <x v="2"/>
    <x v="4"/>
    <x v="0"/>
    <n v="7464"/>
    <n v="92"/>
    <n v="523"/>
    <n v="2.4300000000000002"/>
    <n v="186626"/>
    <n v="62276"/>
    <n v="12.9"/>
    <s v="No"/>
    <n v="48.1"/>
    <n v="90.4"/>
    <n v="2026"/>
  </r>
  <r>
    <x v="230"/>
    <s v="United Kingdom"/>
    <x v="3"/>
    <x v="8"/>
    <x v="0"/>
    <n v="205895"/>
    <n v="86"/>
    <n v="475"/>
    <n v="1.46"/>
    <n v="143047"/>
    <n v="38415"/>
    <n v="18.3"/>
    <s v="Yes"/>
    <n v="15.9"/>
    <n v="55.2"/>
    <n v="2026"/>
  </r>
  <r>
    <x v="231"/>
    <s v="Japan"/>
    <x v="0"/>
    <x v="9"/>
    <x v="0"/>
    <n v="583698"/>
    <n v="96"/>
    <n v="318"/>
    <n v="1.35"/>
    <n v="133464"/>
    <n v="52029"/>
    <n v="19.3"/>
    <s v="No"/>
    <n v="22.1"/>
    <n v="257.39999999999998"/>
    <n v="2026"/>
  </r>
  <r>
    <x v="232"/>
    <s v="Australia"/>
    <x v="2"/>
    <x v="0"/>
    <x v="3"/>
    <n v="340289"/>
    <n v="80"/>
    <n v="283"/>
    <n v="1.35"/>
    <n v="82100"/>
    <n v="34593"/>
    <n v="13.2"/>
    <s v="No"/>
    <n v="29.8"/>
    <n v="69.2"/>
    <n v="2026"/>
  </r>
  <r>
    <x v="233"/>
    <s v="Japan"/>
    <x v="0"/>
    <x v="8"/>
    <x v="3"/>
    <n v="644215"/>
    <n v="43"/>
    <n v="548"/>
    <n v="1.63"/>
    <n v="36926"/>
    <n v="33900"/>
    <n v="22.6"/>
    <s v="Yes"/>
    <n v="30.7"/>
    <n v="238.8"/>
    <n v="2026"/>
  </r>
  <r>
    <x v="234"/>
    <s v="France"/>
    <x v="3"/>
    <x v="8"/>
    <x v="2"/>
    <n v="722695"/>
    <n v="102"/>
    <n v="469"/>
    <n v="2.35"/>
    <n v="44521"/>
    <n v="63281"/>
    <n v="24.7"/>
    <s v="No"/>
    <n v="27.5"/>
    <n v="84.9"/>
    <n v="2026"/>
  </r>
  <r>
    <x v="235"/>
    <s v="United Kingdom"/>
    <x v="3"/>
    <x v="2"/>
    <x v="3"/>
    <n v="356064"/>
    <n v="119"/>
    <n v="558"/>
    <n v="2.56"/>
    <n v="175982"/>
    <n v="27538"/>
    <n v="14.9"/>
    <s v="No"/>
    <n v="24.5"/>
    <n v="205.7"/>
    <n v="2026"/>
  </r>
  <r>
    <x v="236"/>
    <s v="Canada"/>
    <x v="1"/>
    <x v="2"/>
    <x v="0"/>
    <n v="320677"/>
    <n v="84"/>
    <n v="642"/>
    <n v="1.7"/>
    <n v="30640"/>
    <n v="36156"/>
    <n v="13.8"/>
    <s v="Yes"/>
    <n v="17.100000000000001"/>
    <n v="27.7"/>
    <n v="2026"/>
  </r>
  <r>
    <x v="237"/>
    <s v="United States"/>
    <x v="1"/>
    <x v="9"/>
    <x v="1"/>
    <n v="158373"/>
    <n v="109"/>
    <n v="632"/>
    <n v="1.25"/>
    <n v="162343"/>
    <n v="31053"/>
    <n v="13.9"/>
    <s v="No"/>
    <n v="53.3"/>
    <n v="55.2"/>
    <n v="2026"/>
  </r>
  <r>
    <x v="238"/>
    <s v="Norway"/>
    <x v="3"/>
    <x v="2"/>
    <x v="2"/>
    <n v="775411"/>
    <n v="84"/>
    <n v="405"/>
    <n v="2.95"/>
    <n v="47532"/>
    <n v="44365"/>
    <n v="21.5"/>
    <s v="No"/>
    <n v="64.400000000000006"/>
    <n v="49.2"/>
    <n v="2026"/>
  </r>
  <r>
    <x v="239"/>
    <s v="China"/>
    <x v="0"/>
    <x v="7"/>
    <x v="1"/>
    <n v="647217"/>
    <n v="41"/>
    <n v="572"/>
    <n v="2.54"/>
    <n v="168185"/>
    <n v="56816"/>
    <n v="20.6"/>
    <s v="No"/>
    <n v="23.3"/>
    <n v="271.10000000000002"/>
    <n v="2026"/>
  </r>
  <r>
    <x v="240"/>
    <s v="France"/>
    <x v="3"/>
    <x v="9"/>
    <x v="2"/>
    <n v="208931"/>
    <n v="118"/>
    <n v="535"/>
    <n v="2.88"/>
    <n v="104191"/>
    <n v="31849"/>
    <n v="17.100000000000001"/>
    <s v="No"/>
    <n v="32.6"/>
    <n v="45.4"/>
    <n v="2026"/>
  </r>
  <r>
    <x v="241"/>
    <s v="Germany"/>
    <x v="3"/>
    <x v="5"/>
    <x v="2"/>
    <n v="602454"/>
    <n v="84"/>
    <n v="283"/>
    <n v="2.06"/>
    <n v="33840"/>
    <n v="41920"/>
    <n v="20.8"/>
    <s v="No"/>
    <n v="7.4"/>
    <n v="165.7"/>
    <n v="2026"/>
  </r>
  <r>
    <x v="242"/>
    <s v="United States"/>
    <x v="1"/>
    <x v="6"/>
    <x v="3"/>
    <n v="578801"/>
    <n v="119"/>
    <n v="402"/>
    <n v="2.04"/>
    <n v="132783"/>
    <n v="33360"/>
    <n v="23.9"/>
    <s v="Yes"/>
    <n v="58.8"/>
    <n v="43.4"/>
    <n v="2026"/>
  </r>
  <r>
    <x v="243"/>
    <s v="France"/>
    <x v="3"/>
    <x v="5"/>
    <x v="0"/>
    <n v="608017"/>
    <n v="118"/>
    <n v="551"/>
    <n v="2.72"/>
    <n v="57241"/>
    <n v="60331"/>
    <n v="24.2"/>
    <s v="Yes"/>
    <n v="12.9"/>
    <n v="211.6"/>
    <n v="2026"/>
  </r>
  <r>
    <x v="244"/>
    <s v="France"/>
    <x v="3"/>
    <x v="8"/>
    <x v="1"/>
    <n v="50358"/>
    <n v="56"/>
    <n v="523"/>
    <n v="2.41"/>
    <n v="152942"/>
    <n v="72404"/>
    <n v="21.4"/>
    <s v="No"/>
    <n v="43.8"/>
    <n v="17.399999999999999"/>
    <n v="2026"/>
  </r>
  <r>
    <x v="245"/>
    <s v="Germany"/>
    <x v="3"/>
    <x v="7"/>
    <x v="2"/>
    <n v="702660"/>
    <n v="101"/>
    <n v="613"/>
    <n v="0.88"/>
    <n v="94188"/>
    <n v="46454"/>
    <n v="15.8"/>
    <s v="No"/>
    <n v="44.1"/>
    <n v="79.900000000000006"/>
    <n v="2026"/>
  </r>
  <r>
    <x v="246"/>
    <s v="Japan"/>
    <x v="0"/>
    <x v="9"/>
    <x v="0"/>
    <n v="614052"/>
    <n v="101"/>
    <n v="536"/>
    <n v="2.75"/>
    <n v="192967"/>
    <n v="68276"/>
    <n v="13.5"/>
    <s v="Yes"/>
    <n v="9.5"/>
    <n v="197.1"/>
    <n v="2026"/>
  </r>
  <r>
    <x v="247"/>
    <s v="China"/>
    <x v="0"/>
    <x v="0"/>
    <x v="0"/>
    <n v="353839"/>
    <n v="117"/>
    <n v="536"/>
    <n v="1.59"/>
    <n v="35818"/>
    <n v="81700"/>
    <n v="22.3"/>
    <s v="Yes"/>
    <n v="46.4"/>
    <n v="198.6"/>
    <n v="2026"/>
  </r>
  <r>
    <x v="248"/>
    <s v="France"/>
    <x v="3"/>
    <x v="3"/>
    <x v="0"/>
    <n v="175751"/>
    <n v="101"/>
    <n v="276"/>
    <n v="2.67"/>
    <n v="180327"/>
    <n v="32183"/>
    <n v="13.3"/>
    <s v="Yes"/>
    <n v="37.9"/>
    <n v="57.8"/>
    <n v="2026"/>
  </r>
  <r>
    <x v="249"/>
    <s v="France"/>
    <x v="3"/>
    <x v="6"/>
    <x v="2"/>
    <n v="631760"/>
    <n v="74"/>
    <n v="294"/>
    <n v="0.75"/>
    <n v="162411"/>
    <n v="52751"/>
    <n v="15.1"/>
    <s v="Yes"/>
    <n v="27.6"/>
    <n v="238.7"/>
    <n v="2026"/>
  </r>
  <r>
    <x v="250"/>
    <s v="Japan"/>
    <x v="0"/>
    <x v="2"/>
    <x v="1"/>
    <n v="750771"/>
    <n v="105"/>
    <n v="272"/>
    <n v="1.72"/>
    <n v="36838"/>
    <n v="55160"/>
    <n v="12"/>
    <s v="No"/>
    <n v="36.4"/>
    <n v="82.5"/>
    <n v="2026"/>
  </r>
  <r>
    <x v="251"/>
    <s v="Japan"/>
    <x v="0"/>
    <x v="0"/>
    <x v="0"/>
    <n v="872290"/>
    <n v="75"/>
    <n v="343"/>
    <n v="1.61"/>
    <n v="92497"/>
    <n v="60225"/>
    <n v="22.3"/>
    <s v="No"/>
    <n v="30.4"/>
    <n v="260.10000000000002"/>
    <n v="2026"/>
  </r>
  <r>
    <x v="252"/>
    <s v="United States"/>
    <x v="1"/>
    <x v="6"/>
    <x v="1"/>
    <n v="696593"/>
    <n v="65"/>
    <n v="564"/>
    <n v="1.6"/>
    <n v="616"/>
    <n v="81057"/>
    <n v="15.6"/>
    <s v="No"/>
    <n v="43.2"/>
    <n v="130"/>
    <n v="2026"/>
  </r>
  <r>
    <x v="253"/>
    <s v="France"/>
    <x v="3"/>
    <x v="5"/>
    <x v="1"/>
    <n v="48228"/>
    <n v="87"/>
    <n v="406"/>
    <n v="1.06"/>
    <n v="130406"/>
    <n v="26218"/>
    <n v="17.5"/>
    <s v="Yes"/>
    <n v="58.2"/>
    <n v="197.3"/>
    <n v="2026"/>
  </r>
  <r>
    <x v="254"/>
    <s v="Norway"/>
    <x v="3"/>
    <x v="8"/>
    <x v="1"/>
    <n v="98318"/>
    <n v="65"/>
    <n v="309"/>
    <n v="2.4500000000000002"/>
    <n v="124093"/>
    <n v="63833"/>
    <n v="17.600000000000001"/>
    <s v="Yes"/>
    <n v="50.3"/>
    <n v="90.3"/>
    <n v="2026"/>
  </r>
  <r>
    <x v="255"/>
    <s v="Norway"/>
    <x v="3"/>
    <x v="3"/>
    <x v="0"/>
    <n v="767150"/>
    <n v="83"/>
    <n v="443"/>
    <n v="1.22"/>
    <n v="135427"/>
    <n v="73639"/>
    <n v="14.6"/>
    <s v="Yes"/>
    <n v="36.299999999999997"/>
    <n v="233.7"/>
    <n v="2026"/>
  </r>
  <r>
    <x v="256"/>
    <s v="India"/>
    <x v="0"/>
    <x v="4"/>
    <x v="3"/>
    <n v="626222"/>
    <n v="104"/>
    <n v="279"/>
    <n v="2.04"/>
    <n v="1576"/>
    <n v="78714"/>
    <n v="16.7"/>
    <s v="Yes"/>
    <n v="24.7"/>
    <n v="34.4"/>
    <n v="2026"/>
  </r>
  <r>
    <x v="257"/>
    <s v="Japan"/>
    <x v="0"/>
    <x v="5"/>
    <x v="1"/>
    <n v="840990"/>
    <n v="44"/>
    <n v="475"/>
    <n v="2"/>
    <n v="150099"/>
    <n v="60871"/>
    <n v="15.5"/>
    <s v="Yes"/>
    <n v="49"/>
    <n v="208.7"/>
    <n v="2026"/>
  </r>
  <r>
    <x v="258"/>
    <s v="Australia"/>
    <x v="2"/>
    <x v="8"/>
    <x v="3"/>
    <n v="483393"/>
    <n v="96"/>
    <n v="390"/>
    <n v="2.61"/>
    <n v="114334"/>
    <n v="42542"/>
    <n v="22.4"/>
    <s v="No"/>
    <n v="53.3"/>
    <n v="157.4"/>
    <n v="2026"/>
  </r>
  <r>
    <x v="259"/>
    <s v="India"/>
    <x v="0"/>
    <x v="0"/>
    <x v="0"/>
    <n v="898047"/>
    <n v="119"/>
    <n v="554"/>
    <n v="2.57"/>
    <n v="74068"/>
    <n v="70309"/>
    <n v="19.7"/>
    <s v="Yes"/>
    <n v="35.700000000000003"/>
    <n v="65.900000000000006"/>
    <n v="2026"/>
  </r>
  <r>
    <x v="260"/>
    <s v="United Kingdom"/>
    <x v="3"/>
    <x v="7"/>
    <x v="3"/>
    <n v="548995"/>
    <n v="60"/>
    <n v="516"/>
    <n v="2.72"/>
    <n v="118995"/>
    <n v="71759"/>
    <n v="18.399999999999999"/>
    <s v="No"/>
    <n v="17.100000000000001"/>
    <n v="25.5"/>
    <n v="2026"/>
  </r>
  <r>
    <x v="261"/>
    <s v="France"/>
    <x v="3"/>
    <x v="4"/>
    <x v="3"/>
    <n v="216900"/>
    <n v="78"/>
    <n v="538"/>
    <n v="1.28"/>
    <n v="34214"/>
    <n v="54007"/>
    <n v="24.6"/>
    <s v="No"/>
    <n v="32.799999999999997"/>
    <n v="251"/>
    <n v="2026"/>
  </r>
  <r>
    <x v="262"/>
    <s v="Norway"/>
    <x v="3"/>
    <x v="2"/>
    <x v="1"/>
    <n v="551602"/>
    <n v="42"/>
    <n v="361"/>
    <n v="0.65"/>
    <n v="45581"/>
    <n v="74612"/>
    <n v="19.899999999999999"/>
    <s v="No"/>
    <n v="39.6"/>
    <n v="209"/>
    <n v="2026"/>
  </r>
  <r>
    <x v="263"/>
    <s v="France"/>
    <x v="3"/>
    <x v="6"/>
    <x v="0"/>
    <n v="730065"/>
    <n v="74"/>
    <n v="435"/>
    <n v="1.73"/>
    <n v="62152"/>
    <n v="60534"/>
    <n v="20.100000000000001"/>
    <s v="No"/>
    <n v="17.3"/>
    <n v="29.7"/>
    <n v="2026"/>
  </r>
  <r>
    <x v="264"/>
    <s v="Germany"/>
    <x v="3"/>
    <x v="0"/>
    <x v="3"/>
    <n v="744424"/>
    <n v="68"/>
    <n v="407"/>
    <n v="1.47"/>
    <n v="83116"/>
    <n v="77518"/>
    <n v="17.7"/>
    <s v="No"/>
    <n v="43.2"/>
    <n v="19.600000000000001"/>
    <n v="2026"/>
  </r>
  <r>
    <x v="265"/>
    <s v="India"/>
    <x v="0"/>
    <x v="5"/>
    <x v="1"/>
    <n v="218015"/>
    <n v="116"/>
    <n v="422"/>
    <n v="0.85"/>
    <n v="165777"/>
    <n v="32930"/>
    <n v="14.4"/>
    <s v="No"/>
    <n v="52.6"/>
    <n v="185.3"/>
    <n v="2026"/>
  </r>
  <r>
    <x v="266"/>
    <s v="United States"/>
    <x v="1"/>
    <x v="9"/>
    <x v="0"/>
    <n v="518660"/>
    <n v="94"/>
    <n v="375"/>
    <n v="2.54"/>
    <n v="165598"/>
    <n v="65820"/>
    <n v="13.6"/>
    <s v="Yes"/>
    <n v="20.100000000000001"/>
    <n v="180.9"/>
    <n v="2026"/>
  </r>
  <r>
    <x v="267"/>
    <s v="China"/>
    <x v="0"/>
    <x v="1"/>
    <x v="1"/>
    <n v="70507"/>
    <n v="88"/>
    <n v="286"/>
    <n v="2.34"/>
    <n v="124034"/>
    <n v="57423"/>
    <n v="19"/>
    <s v="No"/>
    <n v="41.1"/>
    <n v="14.9"/>
    <n v="2026"/>
  </r>
  <r>
    <x v="268"/>
    <s v="Canada"/>
    <x v="1"/>
    <x v="9"/>
    <x v="1"/>
    <n v="286965"/>
    <n v="46"/>
    <n v="602"/>
    <n v="2.21"/>
    <n v="96694"/>
    <n v="69998"/>
    <n v="17.7"/>
    <s v="Yes"/>
    <n v="40.6"/>
    <n v="67.400000000000006"/>
    <n v="2026"/>
  </r>
  <r>
    <x v="269"/>
    <s v="United States"/>
    <x v="1"/>
    <x v="2"/>
    <x v="2"/>
    <n v="117019"/>
    <n v="107"/>
    <n v="583"/>
    <n v="1.43"/>
    <n v="98875"/>
    <n v="30546"/>
    <n v="19.899999999999999"/>
    <s v="No"/>
    <n v="51.5"/>
    <n v="263.10000000000002"/>
    <n v="2026"/>
  </r>
  <r>
    <x v="270"/>
    <s v="United States"/>
    <x v="1"/>
    <x v="6"/>
    <x v="3"/>
    <n v="197116"/>
    <n v="51"/>
    <n v="457"/>
    <n v="1.28"/>
    <n v="95129"/>
    <n v="58096"/>
    <n v="20.100000000000001"/>
    <s v="No"/>
    <n v="34.799999999999997"/>
    <n v="60.9"/>
    <n v="2026"/>
  </r>
  <r>
    <x v="271"/>
    <s v="France"/>
    <x v="3"/>
    <x v="2"/>
    <x v="2"/>
    <n v="710089"/>
    <n v="97"/>
    <n v="254"/>
    <n v="0.85"/>
    <n v="13878"/>
    <n v="34336"/>
    <n v="20.100000000000001"/>
    <s v="No"/>
    <n v="45.7"/>
    <n v="183.5"/>
    <n v="2026"/>
  </r>
  <r>
    <x v="272"/>
    <s v="Norway"/>
    <x v="3"/>
    <x v="5"/>
    <x v="2"/>
    <n v="651657"/>
    <n v="63"/>
    <n v="487"/>
    <n v="1.0900000000000001"/>
    <n v="147904"/>
    <n v="48136"/>
    <n v="21.5"/>
    <s v="No"/>
    <n v="59.8"/>
    <n v="51.3"/>
    <n v="2026"/>
  </r>
  <r>
    <x v="273"/>
    <s v="China"/>
    <x v="0"/>
    <x v="7"/>
    <x v="0"/>
    <n v="469923"/>
    <n v="72"/>
    <n v="486"/>
    <n v="2.54"/>
    <n v="162981"/>
    <n v="63292"/>
    <n v="15.7"/>
    <s v="Yes"/>
    <n v="30.5"/>
    <n v="32.799999999999997"/>
    <n v="2026"/>
  </r>
  <r>
    <x v="274"/>
    <s v="United Kingdom"/>
    <x v="3"/>
    <x v="5"/>
    <x v="2"/>
    <n v="386618"/>
    <n v="110"/>
    <n v="274"/>
    <n v="2.42"/>
    <n v="112816"/>
    <n v="78030"/>
    <n v="13.3"/>
    <s v="No"/>
    <n v="32"/>
    <n v="195.5"/>
    <n v="2026"/>
  </r>
  <r>
    <x v="275"/>
    <s v="United Kingdom"/>
    <x v="3"/>
    <x v="8"/>
    <x v="1"/>
    <n v="275007"/>
    <n v="114"/>
    <n v="460"/>
    <n v="1.99"/>
    <n v="41997"/>
    <n v="84045"/>
    <n v="13.3"/>
    <s v="Yes"/>
    <n v="46.2"/>
    <n v="78.7"/>
    <n v="2026"/>
  </r>
  <r>
    <x v="276"/>
    <s v="Norway"/>
    <x v="3"/>
    <x v="7"/>
    <x v="2"/>
    <n v="470234"/>
    <n v="96"/>
    <n v="388"/>
    <n v="0.54"/>
    <n v="59985"/>
    <n v="56746"/>
    <n v="24.6"/>
    <s v="No"/>
    <n v="23.4"/>
    <n v="14.5"/>
    <n v="2026"/>
  </r>
  <r>
    <x v="277"/>
    <s v="Germany"/>
    <x v="3"/>
    <x v="7"/>
    <x v="1"/>
    <n v="455773"/>
    <n v="93"/>
    <n v="387"/>
    <n v="1.61"/>
    <n v="24486"/>
    <n v="49846"/>
    <n v="24.7"/>
    <s v="No"/>
    <n v="33.799999999999997"/>
    <n v="199.2"/>
    <n v="2026"/>
  </r>
  <r>
    <x v="278"/>
    <s v="China"/>
    <x v="0"/>
    <x v="4"/>
    <x v="2"/>
    <n v="320136"/>
    <n v="62"/>
    <n v="506"/>
    <n v="2.96"/>
    <n v="89244"/>
    <n v="53746"/>
    <n v="19"/>
    <s v="No"/>
    <n v="12"/>
    <n v="225.6"/>
    <n v="2026"/>
  </r>
  <r>
    <x v="279"/>
    <s v="Australia"/>
    <x v="2"/>
    <x v="4"/>
    <x v="1"/>
    <n v="508414"/>
    <n v="55"/>
    <n v="469"/>
    <n v="2.88"/>
    <n v="154650"/>
    <n v="32165"/>
    <n v="13.5"/>
    <s v="Yes"/>
    <n v="45.6"/>
    <n v="272.60000000000002"/>
    <n v="2026"/>
  </r>
  <r>
    <x v="280"/>
    <s v="France"/>
    <x v="3"/>
    <x v="0"/>
    <x v="1"/>
    <n v="462886"/>
    <n v="42"/>
    <n v="262"/>
    <n v="1.64"/>
    <n v="53975"/>
    <n v="58976"/>
    <n v="19.8"/>
    <s v="Yes"/>
    <n v="44.5"/>
    <n v="67"/>
    <n v="2026"/>
  </r>
  <r>
    <x v="281"/>
    <s v="Germany"/>
    <x v="3"/>
    <x v="4"/>
    <x v="0"/>
    <n v="70139"/>
    <n v="109"/>
    <n v="623"/>
    <n v="2.96"/>
    <n v="121983"/>
    <n v="60639"/>
    <n v="23.3"/>
    <s v="Yes"/>
    <n v="31.5"/>
    <n v="192.1"/>
    <n v="2026"/>
  </r>
  <r>
    <x v="282"/>
    <s v="Australia"/>
    <x v="2"/>
    <x v="6"/>
    <x v="2"/>
    <n v="105712"/>
    <n v="83"/>
    <n v="545"/>
    <n v="1.79"/>
    <n v="95238"/>
    <n v="75123"/>
    <n v="13.2"/>
    <s v="Yes"/>
    <n v="46.8"/>
    <n v="192.7"/>
    <n v="2026"/>
  </r>
  <r>
    <x v="283"/>
    <s v="United Kingdom"/>
    <x v="3"/>
    <x v="6"/>
    <x v="0"/>
    <n v="381380"/>
    <n v="64"/>
    <n v="639"/>
    <n v="0.84"/>
    <n v="118002"/>
    <n v="45592"/>
    <n v="25"/>
    <s v="Yes"/>
    <n v="28.9"/>
    <n v="270.7"/>
    <n v="2026"/>
  </r>
  <r>
    <x v="284"/>
    <s v="France"/>
    <x v="3"/>
    <x v="9"/>
    <x v="0"/>
    <n v="654240"/>
    <n v="89"/>
    <n v="391"/>
    <n v="2.57"/>
    <n v="155235"/>
    <n v="55904"/>
    <n v="15"/>
    <s v="Yes"/>
    <n v="17.5"/>
    <n v="112.2"/>
    <n v="2026"/>
  </r>
  <r>
    <x v="285"/>
    <s v="India"/>
    <x v="0"/>
    <x v="7"/>
    <x v="1"/>
    <n v="768510"/>
    <n v="52"/>
    <n v="609"/>
    <n v="1.37"/>
    <n v="77404"/>
    <n v="42789"/>
    <n v="17.100000000000001"/>
    <s v="Yes"/>
    <n v="51.2"/>
    <n v="46"/>
    <n v="2026"/>
  </r>
  <r>
    <x v="286"/>
    <s v="United States"/>
    <x v="1"/>
    <x v="4"/>
    <x v="3"/>
    <n v="101407"/>
    <n v="92"/>
    <n v="586"/>
    <n v="0.79"/>
    <n v="20420"/>
    <n v="37245"/>
    <n v="16.600000000000001"/>
    <s v="Yes"/>
    <n v="31.1"/>
    <n v="209.3"/>
    <n v="2026"/>
  </r>
  <r>
    <x v="287"/>
    <s v="Canada"/>
    <x v="1"/>
    <x v="3"/>
    <x v="1"/>
    <n v="883102"/>
    <n v="118"/>
    <n v="549"/>
    <n v="2.4500000000000002"/>
    <n v="135011"/>
    <n v="40917"/>
    <n v="20.2"/>
    <s v="Yes"/>
    <n v="24.2"/>
    <n v="117"/>
    <n v="2026"/>
  </r>
  <r>
    <x v="288"/>
    <s v="China"/>
    <x v="0"/>
    <x v="5"/>
    <x v="1"/>
    <n v="369743"/>
    <n v="64"/>
    <n v="330"/>
    <n v="1.1499999999999999"/>
    <n v="118062"/>
    <n v="65355"/>
    <n v="24.7"/>
    <s v="Yes"/>
    <n v="63.9"/>
    <n v="108"/>
    <n v="2026"/>
  </r>
  <r>
    <x v="289"/>
    <s v="China"/>
    <x v="0"/>
    <x v="0"/>
    <x v="1"/>
    <n v="174631"/>
    <n v="53"/>
    <n v="377"/>
    <n v="2.12"/>
    <n v="199733"/>
    <n v="51692"/>
    <n v="15.6"/>
    <s v="Yes"/>
    <n v="37.799999999999997"/>
    <n v="109.3"/>
    <n v="2026"/>
  </r>
  <r>
    <x v="290"/>
    <s v="Germany"/>
    <x v="3"/>
    <x v="5"/>
    <x v="0"/>
    <n v="516580"/>
    <n v="109"/>
    <n v="560"/>
    <n v="1.63"/>
    <n v="13536"/>
    <n v="42837"/>
    <n v="13.2"/>
    <s v="Yes"/>
    <n v="59"/>
    <n v="294.89999999999998"/>
    <n v="2026"/>
  </r>
  <r>
    <x v="291"/>
    <s v="Canada"/>
    <x v="1"/>
    <x v="7"/>
    <x v="2"/>
    <n v="408062"/>
    <n v="113"/>
    <n v="622"/>
    <n v="2.61"/>
    <n v="32128"/>
    <n v="60303"/>
    <n v="19.100000000000001"/>
    <s v="Yes"/>
    <n v="32.200000000000003"/>
    <n v="141"/>
    <n v="2026"/>
  </r>
  <r>
    <x v="292"/>
    <s v="China"/>
    <x v="0"/>
    <x v="4"/>
    <x v="1"/>
    <n v="51904"/>
    <n v="59"/>
    <n v="549"/>
    <n v="2.81"/>
    <n v="14006"/>
    <n v="66234"/>
    <n v="17"/>
    <s v="No"/>
    <n v="13.3"/>
    <n v="152.69999999999999"/>
    <n v="2026"/>
  </r>
  <r>
    <x v="293"/>
    <s v="United States"/>
    <x v="1"/>
    <x v="6"/>
    <x v="2"/>
    <n v="736287"/>
    <n v="112"/>
    <n v="650"/>
    <n v="2.4500000000000002"/>
    <n v="114596"/>
    <n v="76756"/>
    <n v="20.7"/>
    <s v="Yes"/>
    <n v="29.9"/>
    <n v="136.69999999999999"/>
    <n v="2026"/>
  </r>
  <r>
    <x v="294"/>
    <s v="China"/>
    <x v="0"/>
    <x v="7"/>
    <x v="0"/>
    <n v="512187"/>
    <n v="120"/>
    <n v="374"/>
    <n v="2.85"/>
    <n v="16724"/>
    <n v="48204"/>
    <n v="16"/>
    <s v="Yes"/>
    <n v="22.7"/>
    <n v="220.4"/>
    <n v="2026"/>
  </r>
  <r>
    <x v="295"/>
    <s v="France"/>
    <x v="3"/>
    <x v="6"/>
    <x v="0"/>
    <n v="105055"/>
    <n v="56"/>
    <n v="589"/>
    <n v="1.8"/>
    <n v="93986"/>
    <n v="54875"/>
    <n v="14.4"/>
    <s v="No"/>
    <n v="40.700000000000003"/>
    <n v="133.1"/>
    <n v="2026"/>
  </r>
  <r>
    <x v="296"/>
    <s v="France"/>
    <x v="3"/>
    <x v="8"/>
    <x v="3"/>
    <n v="380098"/>
    <n v="84"/>
    <n v="316"/>
    <n v="2.16"/>
    <n v="96679"/>
    <n v="48590"/>
    <n v="20.9"/>
    <s v="Yes"/>
    <n v="27.3"/>
    <n v="56.6"/>
    <n v="2026"/>
  </r>
  <r>
    <x v="297"/>
    <s v="France"/>
    <x v="3"/>
    <x v="3"/>
    <x v="1"/>
    <n v="829343"/>
    <n v="64"/>
    <n v="505"/>
    <n v="1.92"/>
    <n v="146488"/>
    <n v="41013"/>
    <n v="19.100000000000001"/>
    <s v="No"/>
    <n v="49.5"/>
    <n v="108.4"/>
    <n v="2026"/>
  </r>
  <r>
    <x v="298"/>
    <s v="China"/>
    <x v="0"/>
    <x v="0"/>
    <x v="2"/>
    <n v="388429"/>
    <n v="110"/>
    <n v="508"/>
    <n v="1.86"/>
    <n v="143991"/>
    <n v="69043"/>
    <n v="21.6"/>
    <s v="Yes"/>
    <n v="15.2"/>
    <n v="86.9"/>
    <n v="2026"/>
  </r>
  <r>
    <x v="299"/>
    <s v="Canada"/>
    <x v="1"/>
    <x v="1"/>
    <x v="3"/>
    <n v="347120"/>
    <n v="41"/>
    <n v="640"/>
    <n v="1.58"/>
    <n v="98768"/>
    <n v="46493"/>
    <n v="16.100000000000001"/>
    <s v="No"/>
    <n v="26.7"/>
    <n v="51.3"/>
    <n v="2026"/>
  </r>
  <r>
    <x v="300"/>
    <s v="France"/>
    <x v="3"/>
    <x v="3"/>
    <x v="1"/>
    <n v="528352"/>
    <n v="46"/>
    <n v="520"/>
    <n v="2.33"/>
    <n v="50698"/>
    <n v="81786"/>
    <n v="24.3"/>
    <s v="Yes"/>
    <n v="24.5"/>
    <n v="156.69999999999999"/>
    <n v="2026"/>
  </r>
  <r>
    <x v="301"/>
    <s v="France"/>
    <x v="3"/>
    <x v="7"/>
    <x v="0"/>
    <n v="689653"/>
    <n v="54"/>
    <n v="315"/>
    <n v="2.4500000000000002"/>
    <n v="192099"/>
    <n v="53795"/>
    <n v="12.5"/>
    <s v="Yes"/>
    <n v="29"/>
    <n v="204.3"/>
    <n v="2026"/>
  </r>
  <r>
    <x v="302"/>
    <s v="Germany"/>
    <x v="3"/>
    <x v="3"/>
    <x v="2"/>
    <n v="320827"/>
    <n v="60"/>
    <n v="390"/>
    <n v="2.4300000000000002"/>
    <n v="32361"/>
    <n v="57074"/>
    <n v="22.2"/>
    <s v="No"/>
    <n v="9.4"/>
    <n v="25.5"/>
    <n v="2026"/>
  </r>
  <r>
    <x v="303"/>
    <s v="India"/>
    <x v="0"/>
    <x v="7"/>
    <x v="2"/>
    <n v="139291"/>
    <n v="57"/>
    <n v="531"/>
    <n v="1.5"/>
    <n v="146366"/>
    <n v="63161"/>
    <n v="22.4"/>
    <s v="Yes"/>
    <n v="36.6"/>
    <n v="145.5"/>
    <n v="2026"/>
  </r>
  <r>
    <x v="304"/>
    <s v="Australia"/>
    <x v="2"/>
    <x v="5"/>
    <x v="2"/>
    <n v="242604"/>
    <n v="44"/>
    <n v="317"/>
    <n v="1.18"/>
    <n v="142869"/>
    <n v="81843"/>
    <n v="22.9"/>
    <s v="No"/>
    <n v="51"/>
    <n v="293.8"/>
    <n v="2026"/>
  </r>
  <r>
    <x v="305"/>
    <s v="India"/>
    <x v="0"/>
    <x v="7"/>
    <x v="0"/>
    <n v="27418"/>
    <n v="47"/>
    <n v="425"/>
    <n v="1.96"/>
    <n v="55165"/>
    <n v="79357"/>
    <n v="17.8"/>
    <s v="No"/>
    <n v="34.9"/>
    <n v="120"/>
    <n v="2026"/>
  </r>
  <r>
    <x v="306"/>
    <s v="France"/>
    <x v="3"/>
    <x v="8"/>
    <x v="2"/>
    <n v="24555"/>
    <n v="71"/>
    <n v="428"/>
    <n v="2.15"/>
    <n v="74330"/>
    <n v="80530"/>
    <n v="13.1"/>
    <s v="Yes"/>
    <n v="46.6"/>
    <n v="226.5"/>
    <n v="2026"/>
  </r>
  <r>
    <x v="307"/>
    <s v="France"/>
    <x v="3"/>
    <x v="2"/>
    <x v="0"/>
    <n v="72247"/>
    <n v="120"/>
    <n v="394"/>
    <n v="2.3199999999999998"/>
    <n v="193565"/>
    <n v="60102"/>
    <n v="19.399999999999999"/>
    <s v="Yes"/>
    <n v="46"/>
    <n v="45.8"/>
    <n v="2026"/>
  </r>
  <r>
    <x v="308"/>
    <s v="Germany"/>
    <x v="3"/>
    <x v="4"/>
    <x v="0"/>
    <n v="357137"/>
    <n v="76"/>
    <n v="264"/>
    <n v="2.3199999999999998"/>
    <n v="52507"/>
    <n v="36047"/>
    <n v="12.9"/>
    <s v="No"/>
    <n v="37"/>
    <n v="100.6"/>
    <n v="2026"/>
  </r>
  <r>
    <x v="309"/>
    <s v="United States"/>
    <x v="1"/>
    <x v="9"/>
    <x v="0"/>
    <n v="298116"/>
    <n v="50"/>
    <n v="554"/>
    <n v="1.05"/>
    <n v="70642"/>
    <n v="57435"/>
    <n v="24.6"/>
    <s v="Yes"/>
    <n v="57.3"/>
    <n v="73.900000000000006"/>
    <n v="2026"/>
  </r>
  <r>
    <x v="310"/>
    <s v="Australia"/>
    <x v="2"/>
    <x v="5"/>
    <x v="3"/>
    <n v="674003"/>
    <n v="75"/>
    <n v="507"/>
    <n v="0.6"/>
    <n v="85311"/>
    <n v="52243"/>
    <n v="24.4"/>
    <s v="Yes"/>
    <n v="11.2"/>
    <n v="170.1"/>
    <n v="2026"/>
  </r>
  <r>
    <x v="311"/>
    <s v="India"/>
    <x v="0"/>
    <x v="0"/>
    <x v="2"/>
    <n v="323315"/>
    <n v="114"/>
    <n v="252"/>
    <n v="2.02"/>
    <n v="138714"/>
    <n v="71060"/>
    <n v="14.3"/>
    <s v="No"/>
    <n v="47.4"/>
    <n v="45.8"/>
    <n v="2026"/>
  </r>
  <r>
    <x v="312"/>
    <s v="United States"/>
    <x v="1"/>
    <x v="4"/>
    <x v="1"/>
    <n v="392665"/>
    <n v="49"/>
    <n v="411"/>
    <n v="0.85"/>
    <n v="8575"/>
    <n v="30928"/>
    <n v="17.899999999999999"/>
    <s v="Yes"/>
    <n v="21.7"/>
    <n v="115"/>
    <n v="2026"/>
  </r>
  <r>
    <x v="313"/>
    <s v="United Kingdom"/>
    <x v="3"/>
    <x v="7"/>
    <x v="0"/>
    <n v="174463"/>
    <n v="72"/>
    <n v="593"/>
    <n v="0.65"/>
    <n v="191427"/>
    <n v="50621"/>
    <n v="18.899999999999999"/>
    <s v="No"/>
    <n v="32.9"/>
    <n v="7.1"/>
    <n v="2026"/>
  </r>
  <r>
    <x v="314"/>
    <s v="India"/>
    <x v="0"/>
    <x v="0"/>
    <x v="3"/>
    <n v="425517"/>
    <n v="73"/>
    <n v="510"/>
    <n v="2.71"/>
    <n v="186024"/>
    <n v="56122"/>
    <n v="12.8"/>
    <s v="No"/>
    <n v="22.2"/>
    <n v="79.2"/>
    <n v="2026"/>
  </r>
  <r>
    <x v="315"/>
    <s v="Australia"/>
    <x v="2"/>
    <x v="6"/>
    <x v="0"/>
    <n v="519312"/>
    <n v="76"/>
    <n v="596"/>
    <n v="2.2400000000000002"/>
    <n v="47425"/>
    <n v="25221"/>
    <n v="18.3"/>
    <s v="No"/>
    <n v="34.200000000000003"/>
    <n v="126.2"/>
    <n v="2026"/>
  </r>
  <r>
    <x v="316"/>
    <s v="Germany"/>
    <x v="3"/>
    <x v="2"/>
    <x v="1"/>
    <n v="34516"/>
    <n v="104"/>
    <n v="648"/>
    <n v="2.27"/>
    <n v="74677"/>
    <n v="34458"/>
    <n v="20.3"/>
    <s v="No"/>
    <n v="47.5"/>
    <n v="195"/>
    <n v="2026"/>
  </r>
  <r>
    <x v="317"/>
    <s v="India"/>
    <x v="0"/>
    <x v="5"/>
    <x v="0"/>
    <n v="800291"/>
    <n v="70"/>
    <n v="574"/>
    <n v="0.72"/>
    <n v="193309"/>
    <n v="57439"/>
    <n v="24.9"/>
    <s v="No"/>
    <n v="13.1"/>
    <n v="57.8"/>
    <n v="2026"/>
  </r>
  <r>
    <x v="318"/>
    <s v="Japan"/>
    <x v="0"/>
    <x v="3"/>
    <x v="0"/>
    <n v="157939"/>
    <n v="44"/>
    <n v="600"/>
    <n v="1.1599999999999999"/>
    <n v="97550"/>
    <n v="47039"/>
    <n v="22.5"/>
    <s v="Yes"/>
    <n v="42.4"/>
    <n v="299.5"/>
    <n v="2026"/>
  </r>
  <r>
    <x v="319"/>
    <s v="Japan"/>
    <x v="0"/>
    <x v="0"/>
    <x v="1"/>
    <n v="518074"/>
    <n v="113"/>
    <n v="385"/>
    <n v="0.57999999999999996"/>
    <n v="37363"/>
    <n v="46307"/>
    <n v="19.2"/>
    <s v="Yes"/>
    <n v="51.9"/>
    <n v="107.5"/>
    <n v="2026"/>
  </r>
  <r>
    <x v="320"/>
    <s v="China"/>
    <x v="0"/>
    <x v="1"/>
    <x v="3"/>
    <n v="106861"/>
    <n v="62"/>
    <n v="630"/>
    <n v="2.66"/>
    <n v="68885"/>
    <n v="63686"/>
    <n v="20.3"/>
    <s v="No"/>
    <n v="31"/>
    <n v="63.7"/>
    <n v="2026"/>
  </r>
  <r>
    <x v="321"/>
    <s v="Japan"/>
    <x v="0"/>
    <x v="6"/>
    <x v="3"/>
    <n v="115229"/>
    <n v="92"/>
    <n v="592"/>
    <n v="1.62"/>
    <n v="84019"/>
    <n v="77771"/>
    <n v="16.7"/>
    <s v="Yes"/>
    <n v="5.7"/>
    <n v="36.799999999999997"/>
    <n v="2026"/>
  </r>
  <r>
    <x v="322"/>
    <s v="China"/>
    <x v="0"/>
    <x v="9"/>
    <x v="2"/>
    <n v="514831"/>
    <n v="46"/>
    <n v="428"/>
    <n v="2.14"/>
    <n v="74687"/>
    <n v="40296"/>
    <n v="17.399999999999999"/>
    <s v="No"/>
    <n v="50.1"/>
    <n v="188.3"/>
    <n v="2026"/>
  </r>
  <r>
    <x v="323"/>
    <s v="France"/>
    <x v="3"/>
    <x v="9"/>
    <x v="2"/>
    <n v="530068"/>
    <n v="73"/>
    <n v="392"/>
    <n v="2.5299999999999998"/>
    <n v="46733"/>
    <n v="82514"/>
    <n v="14"/>
    <s v="No"/>
    <n v="31.2"/>
    <n v="82.4"/>
    <n v="2026"/>
  </r>
  <r>
    <x v="324"/>
    <s v="Australia"/>
    <x v="2"/>
    <x v="9"/>
    <x v="2"/>
    <n v="236985"/>
    <n v="58"/>
    <n v="569"/>
    <n v="0.84"/>
    <n v="2788"/>
    <n v="64567"/>
    <n v="23.9"/>
    <s v="Yes"/>
    <n v="64.8"/>
    <n v="261"/>
    <n v="2026"/>
  </r>
  <r>
    <x v="325"/>
    <s v="France"/>
    <x v="3"/>
    <x v="4"/>
    <x v="1"/>
    <n v="868062"/>
    <n v="51"/>
    <n v="344"/>
    <n v="1.66"/>
    <n v="65095"/>
    <n v="65466"/>
    <n v="20"/>
    <s v="Yes"/>
    <n v="51.9"/>
    <n v="182.4"/>
    <n v="2026"/>
  </r>
  <r>
    <x v="326"/>
    <s v="United Kingdom"/>
    <x v="3"/>
    <x v="3"/>
    <x v="3"/>
    <n v="15118"/>
    <n v="81"/>
    <n v="311"/>
    <n v="1.44"/>
    <n v="112342"/>
    <n v="50417"/>
    <n v="24.2"/>
    <s v="No"/>
    <n v="21.8"/>
    <n v="166.6"/>
    <n v="2026"/>
  </r>
  <r>
    <x v="327"/>
    <s v="Norway"/>
    <x v="3"/>
    <x v="1"/>
    <x v="1"/>
    <n v="287759"/>
    <n v="43"/>
    <n v="458"/>
    <n v="1.34"/>
    <n v="130959"/>
    <n v="45747"/>
    <n v="16.3"/>
    <s v="No"/>
    <n v="11.6"/>
    <n v="24.9"/>
    <n v="2026"/>
  </r>
  <r>
    <x v="328"/>
    <s v="United States"/>
    <x v="1"/>
    <x v="9"/>
    <x v="0"/>
    <n v="715324"/>
    <n v="87"/>
    <n v="320"/>
    <n v="1.93"/>
    <n v="72073"/>
    <n v="59823"/>
    <n v="18.3"/>
    <s v="Yes"/>
    <n v="45.1"/>
    <n v="35.4"/>
    <n v="2026"/>
  </r>
  <r>
    <x v="329"/>
    <s v="Japan"/>
    <x v="0"/>
    <x v="5"/>
    <x v="2"/>
    <n v="728246"/>
    <n v="89"/>
    <n v="539"/>
    <n v="1.47"/>
    <n v="111224"/>
    <n v="57987"/>
    <n v="21.9"/>
    <s v="No"/>
    <n v="19.100000000000001"/>
    <n v="226.2"/>
    <n v="2026"/>
  </r>
  <r>
    <x v="330"/>
    <s v="United Kingdom"/>
    <x v="3"/>
    <x v="5"/>
    <x v="3"/>
    <n v="289536"/>
    <n v="93"/>
    <n v="284"/>
    <n v="1.54"/>
    <n v="58879"/>
    <n v="28810"/>
    <n v="19.399999999999999"/>
    <s v="Yes"/>
    <n v="12.9"/>
    <n v="129.9"/>
    <n v="2026"/>
  </r>
  <r>
    <x v="331"/>
    <s v="Canada"/>
    <x v="1"/>
    <x v="8"/>
    <x v="3"/>
    <n v="501538"/>
    <n v="107"/>
    <n v="510"/>
    <n v="1.4"/>
    <n v="22680"/>
    <n v="34199"/>
    <n v="19.600000000000001"/>
    <s v="No"/>
    <n v="38.700000000000003"/>
    <n v="83.7"/>
    <n v="2026"/>
  </r>
  <r>
    <x v="332"/>
    <s v="China"/>
    <x v="0"/>
    <x v="1"/>
    <x v="3"/>
    <n v="127555"/>
    <n v="42"/>
    <n v="612"/>
    <n v="2.2000000000000002"/>
    <n v="148681"/>
    <n v="75789"/>
    <n v="13.9"/>
    <s v="No"/>
    <n v="22.8"/>
    <n v="95.5"/>
    <n v="2026"/>
  </r>
  <r>
    <x v="333"/>
    <s v="Japan"/>
    <x v="0"/>
    <x v="2"/>
    <x v="3"/>
    <n v="464313"/>
    <n v="54"/>
    <n v="352"/>
    <n v="2.02"/>
    <n v="184051"/>
    <n v="73218"/>
    <n v="17"/>
    <s v="No"/>
    <n v="16.5"/>
    <n v="29.4"/>
    <n v="2026"/>
  </r>
  <r>
    <x v="334"/>
    <s v="United Kingdom"/>
    <x v="3"/>
    <x v="6"/>
    <x v="2"/>
    <n v="499794"/>
    <n v="105"/>
    <n v="590"/>
    <n v="1.7"/>
    <n v="176359"/>
    <n v="26012"/>
    <n v="23.5"/>
    <s v="No"/>
    <n v="40.200000000000003"/>
    <n v="21.6"/>
    <n v="2026"/>
  </r>
  <r>
    <x v="335"/>
    <s v="United States"/>
    <x v="1"/>
    <x v="8"/>
    <x v="0"/>
    <n v="734615"/>
    <n v="100"/>
    <n v="259"/>
    <n v="2.54"/>
    <n v="14973"/>
    <n v="39024"/>
    <n v="22.1"/>
    <s v="No"/>
    <n v="61.6"/>
    <n v="46.8"/>
    <n v="2026"/>
  </r>
  <r>
    <x v="336"/>
    <s v="United States"/>
    <x v="1"/>
    <x v="1"/>
    <x v="3"/>
    <n v="648065"/>
    <n v="88"/>
    <n v="454"/>
    <n v="2.38"/>
    <n v="155092"/>
    <n v="43384"/>
    <n v="19.3"/>
    <s v="No"/>
    <n v="52.5"/>
    <n v="194.5"/>
    <n v="2026"/>
  </r>
  <r>
    <x v="337"/>
    <s v="United Kingdom"/>
    <x v="3"/>
    <x v="3"/>
    <x v="2"/>
    <n v="629013"/>
    <n v="72"/>
    <n v="581"/>
    <n v="0.95"/>
    <n v="92759"/>
    <n v="79473"/>
    <n v="16.399999999999999"/>
    <s v="No"/>
    <n v="29.4"/>
    <n v="81.7"/>
    <n v="2026"/>
  </r>
  <r>
    <x v="338"/>
    <s v="United Kingdom"/>
    <x v="3"/>
    <x v="5"/>
    <x v="0"/>
    <n v="296801"/>
    <n v="66"/>
    <n v="457"/>
    <n v="1.79"/>
    <n v="108550"/>
    <n v="39311"/>
    <n v="15.1"/>
    <s v="No"/>
    <n v="36"/>
    <n v="227.2"/>
    <n v="2026"/>
  </r>
  <r>
    <x v="339"/>
    <s v="China"/>
    <x v="0"/>
    <x v="4"/>
    <x v="0"/>
    <n v="787683"/>
    <n v="50"/>
    <n v="368"/>
    <n v="0.97"/>
    <n v="171023"/>
    <n v="72690"/>
    <n v="20.100000000000001"/>
    <s v="Yes"/>
    <n v="27.1"/>
    <n v="173.7"/>
    <n v="2026"/>
  </r>
  <r>
    <x v="340"/>
    <s v="Norway"/>
    <x v="3"/>
    <x v="6"/>
    <x v="3"/>
    <n v="618280"/>
    <n v="100"/>
    <n v="311"/>
    <n v="1.53"/>
    <n v="105214"/>
    <n v="61289"/>
    <n v="22.9"/>
    <s v="Yes"/>
    <n v="20.399999999999999"/>
    <n v="225"/>
    <n v="2026"/>
  </r>
  <r>
    <x v="341"/>
    <s v="Germany"/>
    <x v="3"/>
    <x v="8"/>
    <x v="2"/>
    <n v="826551"/>
    <n v="54"/>
    <n v="434"/>
    <n v="0.65"/>
    <n v="133361"/>
    <n v="75098"/>
    <n v="24.7"/>
    <s v="No"/>
    <n v="20.7"/>
    <n v="79.099999999999994"/>
    <n v="2026"/>
  </r>
  <r>
    <x v="342"/>
    <s v="Germany"/>
    <x v="3"/>
    <x v="6"/>
    <x v="1"/>
    <n v="560647"/>
    <n v="100"/>
    <n v="416"/>
    <n v="1.4"/>
    <n v="86366"/>
    <n v="27622"/>
    <n v="23.2"/>
    <s v="No"/>
    <n v="50.8"/>
    <n v="82.6"/>
    <n v="2026"/>
  </r>
  <r>
    <x v="343"/>
    <s v="Norway"/>
    <x v="3"/>
    <x v="8"/>
    <x v="2"/>
    <n v="587698"/>
    <n v="66"/>
    <n v="285"/>
    <n v="1.52"/>
    <n v="72069"/>
    <n v="74668"/>
    <n v="13.3"/>
    <s v="No"/>
    <n v="37.1"/>
    <n v="75.099999999999994"/>
    <n v="2026"/>
  </r>
  <r>
    <x v="344"/>
    <s v="France"/>
    <x v="3"/>
    <x v="6"/>
    <x v="3"/>
    <n v="30826"/>
    <n v="109"/>
    <n v="580"/>
    <n v="2.33"/>
    <n v="156434"/>
    <n v="25516"/>
    <n v="12.1"/>
    <s v="Yes"/>
    <n v="34.200000000000003"/>
    <n v="68.3"/>
    <n v="2026"/>
  </r>
  <r>
    <x v="345"/>
    <s v="India"/>
    <x v="0"/>
    <x v="7"/>
    <x v="0"/>
    <n v="811643"/>
    <n v="116"/>
    <n v="403"/>
    <n v="1.8"/>
    <n v="90889"/>
    <n v="49605"/>
    <n v="15.3"/>
    <s v="Yes"/>
    <n v="9.1"/>
    <n v="228.8"/>
    <n v="2026"/>
  </r>
  <r>
    <x v="346"/>
    <s v="Australia"/>
    <x v="2"/>
    <x v="0"/>
    <x v="1"/>
    <n v="867593"/>
    <n v="50"/>
    <n v="405"/>
    <n v="1.51"/>
    <n v="135072"/>
    <n v="74160"/>
    <n v="22"/>
    <s v="No"/>
    <n v="61.3"/>
    <n v="292.60000000000002"/>
    <n v="2026"/>
  </r>
  <r>
    <x v="347"/>
    <s v="France"/>
    <x v="3"/>
    <x v="8"/>
    <x v="2"/>
    <n v="223126"/>
    <n v="41"/>
    <n v="476"/>
    <n v="2.78"/>
    <n v="126347"/>
    <n v="56220"/>
    <n v="22.1"/>
    <s v="No"/>
    <n v="13.7"/>
    <n v="179.8"/>
    <n v="2026"/>
  </r>
  <r>
    <x v="348"/>
    <s v="France"/>
    <x v="3"/>
    <x v="6"/>
    <x v="2"/>
    <n v="691214"/>
    <n v="61"/>
    <n v="608"/>
    <n v="2.58"/>
    <n v="11900"/>
    <n v="27674"/>
    <n v="24"/>
    <s v="Yes"/>
    <n v="6.3"/>
    <n v="245.6"/>
    <n v="2026"/>
  </r>
  <r>
    <x v="349"/>
    <s v="India"/>
    <x v="0"/>
    <x v="4"/>
    <x v="3"/>
    <n v="221000"/>
    <n v="58"/>
    <n v="450"/>
    <n v="2.0699999999999998"/>
    <n v="49498"/>
    <n v="50582"/>
    <n v="17.2"/>
    <s v="No"/>
    <n v="49.7"/>
    <n v="65"/>
    <n v="2026"/>
  </r>
  <r>
    <x v="350"/>
    <s v="France"/>
    <x v="3"/>
    <x v="9"/>
    <x v="2"/>
    <n v="352596"/>
    <n v="105"/>
    <n v="429"/>
    <n v="2.44"/>
    <n v="15266"/>
    <n v="61255"/>
    <n v="20.5"/>
    <s v="Yes"/>
    <n v="57.1"/>
    <n v="15"/>
    <n v="2026"/>
  </r>
  <r>
    <x v="351"/>
    <s v="Japan"/>
    <x v="0"/>
    <x v="1"/>
    <x v="3"/>
    <n v="63110"/>
    <n v="72"/>
    <n v="647"/>
    <n v="1.53"/>
    <n v="156469"/>
    <n v="48682"/>
    <n v="24.7"/>
    <s v="Yes"/>
    <n v="43.3"/>
    <n v="144.5"/>
    <n v="2026"/>
  </r>
  <r>
    <x v="352"/>
    <s v="India"/>
    <x v="0"/>
    <x v="6"/>
    <x v="2"/>
    <n v="119157"/>
    <n v="104"/>
    <n v="319"/>
    <n v="0.59"/>
    <n v="74916"/>
    <n v="64117"/>
    <n v="15.2"/>
    <s v="No"/>
    <n v="55.2"/>
    <n v="111.2"/>
    <n v="2026"/>
  </r>
  <r>
    <x v="353"/>
    <s v="France"/>
    <x v="3"/>
    <x v="7"/>
    <x v="2"/>
    <n v="374064"/>
    <n v="65"/>
    <n v="379"/>
    <n v="1.06"/>
    <n v="155717"/>
    <n v="69110"/>
    <n v="13.7"/>
    <s v="No"/>
    <n v="37.5"/>
    <n v="246.9"/>
    <n v="2026"/>
  </r>
  <r>
    <x v="354"/>
    <s v="United Kingdom"/>
    <x v="3"/>
    <x v="0"/>
    <x v="3"/>
    <n v="445419"/>
    <n v="107"/>
    <n v="589"/>
    <n v="1.57"/>
    <n v="45366"/>
    <n v="56690"/>
    <n v="16.7"/>
    <s v="No"/>
    <n v="18.2"/>
    <n v="47.4"/>
    <n v="2026"/>
  </r>
  <r>
    <x v="355"/>
    <s v="Canada"/>
    <x v="1"/>
    <x v="7"/>
    <x v="3"/>
    <n v="822295"/>
    <n v="91"/>
    <n v="290"/>
    <n v="0.78"/>
    <n v="170341"/>
    <n v="62939"/>
    <n v="13.3"/>
    <s v="No"/>
    <n v="51.5"/>
    <n v="293.7"/>
    <n v="2026"/>
  </r>
  <r>
    <x v="356"/>
    <s v="India"/>
    <x v="0"/>
    <x v="3"/>
    <x v="0"/>
    <n v="541682"/>
    <n v="90"/>
    <n v="399"/>
    <n v="0.85"/>
    <n v="69893"/>
    <n v="33148"/>
    <n v="20.6"/>
    <s v="No"/>
    <n v="28.8"/>
    <n v="212.2"/>
    <n v="2026"/>
  </r>
  <r>
    <x v="357"/>
    <s v="Australia"/>
    <x v="2"/>
    <x v="8"/>
    <x v="0"/>
    <n v="395677"/>
    <n v="93"/>
    <n v="508"/>
    <n v="1.23"/>
    <n v="194918"/>
    <n v="54126"/>
    <n v="22.4"/>
    <s v="No"/>
    <n v="25.7"/>
    <n v="16.8"/>
    <n v="2026"/>
  </r>
  <r>
    <x v="358"/>
    <s v="Norway"/>
    <x v="3"/>
    <x v="3"/>
    <x v="1"/>
    <n v="807938"/>
    <n v="102"/>
    <n v="580"/>
    <n v="2.97"/>
    <n v="163084"/>
    <n v="67025"/>
    <n v="21.1"/>
    <s v="Yes"/>
    <n v="17.7"/>
    <n v="231.9"/>
    <n v="2026"/>
  </r>
  <r>
    <x v="359"/>
    <s v="Australia"/>
    <x v="2"/>
    <x v="7"/>
    <x v="2"/>
    <n v="898363"/>
    <n v="110"/>
    <n v="645"/>
    <n v="2.69"/>
    <n v="152641"/>
    <n v="69831"/>
    <n v="20.7"/>
    <s v="No"/>
    <n v="49"/>
    <n v="73.8"/>
    <n v="2026"/>
  </r>
  <r>
    <x v="360"/>
    <s v="Canada"/>
    <x v="1"/>
    <x v="6"/>
    <x v="3"/>
    <n v="847551"/>
    <n v="70"/>
    <n v="529"/>
    <n v="2.42"/>
    <n v="30348"/>
    <n v="46302"/>
    <n v="22.4"/>
    <s v="No"/>
    <n v="63.7"/>
    <n v="36.9"/>
    <n v="2026"/>
  </r>
  <r>
    <x v="361"/>
    <s v="United Kingdom"/>
    <x v="3"/>
    <x v="6"/>
    <x v="0"/>
    <n v="657820"/>
    <n v="80"/>
    <n v="566"/>
    <n v="0.59"/>
    <n v="84973"/>
    <n v="46648"/>
    <n v="22.5"/>
    <s v="No"/>
    <n v="53.1"/>
    <n v="247.2"/>
    <n v="2026"/>
  </r>
  <r>
    <x v="362"/>
    <s v="Australia"/>
    <x v="2"/>
    <x v="7"/>
    <x v="1"/>
    <n v="107825"/>
    <n v="53"/>
    <n v="261"/>
    <n v="0.56999999999999995"/>
    <n v="180955"/>
    <n v="82034"/>
    <n v="15.5"/>
    <s v="No"/>
    <n v="12.6"/>
    <n v="223.3"/>
    <n v="2026"/>
  </r>
  <r>
    <x v="363"/>
    <s v="Australia"/>
    <x v="2"/>
    <x v="5"/>
    <x v="3"/>
    <n v="215955"/>
    <n v="119"/>
    <n v="641"/>
    <n v="0.61"/>
    <n v="69858"/>
    <n v="45083"/>
    <n v="22.2"/>
    <s v="No"/>
    <n v="29.9"/>
    <n v="280.7"/>
    <n v="2026"/>
  </r>
  <r>
    <x v="364"/>
    <s v="Australia"/>
    <x v="2"/>
    <x v="4"/>
    <x v="1"/>
    <n v="852496"/>
    <n v="60"/>
    <n v="543"/>
    <n v="2.76"/>
    <n v="117934"/>
    <n v="66244"/>
    <n v="19.100000000000001"/>
    <s v="Yes"/>
    <n v="34"/>
    <n v="162.6"/>
    <n v="2026"/>
  </r>
  <r>
    <x v="365"/>
    <s v="China"/>
    <x v="0"/>
    <x v="6"/>
    <x v="1"/>
    <n v="442003"/>
    <n v="118"/>
    <n v="372"/>
    <n v="0.83"/>
    <n v="72374"/>
    <n v="64535"/>
    <n v="21.9"/>
    <s v="No"/>
    <n v="21.6"/>
    <n v="18.7"/>
    <n v="2026"/>
  </r>
  <r>
    <x v="366"/>
    <s v="India"/>
    <x v="0"/>
    <x v="2"/>
    <x v="1"/>
    <n v="842965"/>
    <n v="114"/>
    <n v="265"/>
    <n v="1.38"/>
    <n v="65866"/>
    <n v="74150"/>
    <n v="14"/>
    <s v="Yes"/>
    <n v="16.8"/>
    <n v="134.80000000000001"/>
    <n v="2026"/>
  </r>
  <r>
    <x v="367"/>
    <s v="United States"/>
    <x v="1"/>
    <x v="8"/>
    <x v="2"/>
    <n v="157876"/>
    <n v="81"/>
    <n v="386"/>
    <n v="1.47"/>
    <n v="21028"/>
    <n v="81352"/>
    <n v="12.4"/>
    <s v="No"/>
    <n v="33.799999999999997"/>
    <n v="57.2"/>
    <n v="2026"/>
  </r>
  <r>
    <x v="368"/>
    <s v="Japan"/>
    <x v="0"/>
    <x v="7"/>
    <x v="0"/>
    <n v="226480"/>
    <n v="84"/>
    <n v="628"/>
    <n v="0.61"/>
    <n v="28474"/>
    <n v="28518"/>
    <n v="14.7"/>
    <s v="No"/>
    <n v="10.1"/>
    <n v="28.2"/>
    <n v="2026"/>
  </r>
  <r>
    <x v="369"/>
    <s v="Norway"/>
    <x v="3"/>
    <x v="1"/>
    <x v="0"/>
    <n v="23873"/>
    <n v="52"/>
    <n v="358"/>
    <n v="2.93"/>
    <n v="45256"/>
    <n v="69468"/>
    <n v="12.9"/>
    <s v="Yes"/>
    <n v="35.5"/>
    <n v="74.900000000000006"/>
    <n v="2026"/>
  </r>
  <r>
    <x v="370"/>
    <s v="Canada"/>
    <x v="1"/>
    <x v="1"/>
    <x v="1"/>
    <n v="572826"/>
    <n v="99"/>
    <n v="624"/>
    <n v="1.27"/>
    <n v="73128"/>
    <n v="78575"/>
    <n v="15.2"/>
    <s v="No"/>
    <n v="27.7"/>
    <n v="91.1"/>
    <n v="2026"/>
  </r>
  <r>
    <x v="371"/>
    <s v="India"/>
    <x v="0"/>
    <x v="5"/>
    <x v="0"/>
    <n v="823627"/>
    <n v="74"/>
    <n v="404"/>
    <n v="0.84"/>
    <n v="168843"/>
    <n v="47148"/>
    <n v="23.4"/>
    <s v="Yes"/>
    <n v="21.4"/>
    <n v="46"/>
    <n v="2026"/>
  </r>
  <r>
    <x v="372"/>
    <s v="France"/>
    <x v="3"/>
    <x v="2"/>
    <x v="2"/>
    <n v="511745"/>
    <n v="68"/>
    <n v="519"/>
    <n v="2.09"/>
    <n v="135110"/>
    <n v="60249"/>
    <n v="12.9"/>
    <s v="No"/>
    <n v="56.6"/>
    <n v="186.8"/>
    <n v="2026"/>
  </r>
  <r>
    <x v="373"/>
    <s v="Germany"/>
    <x v="3"/>
    <x v="9"/>
    <x v="1"/>
    <n v="837310"/>
    <n v="41"/>
    <n v="564"/>
    <n v="0.61"/>
    <n v="119407"/>
    <n v="72721"/>
    <n v="23.8"/>
    <s v="No"/>
    <n v="53.2"/>
    <n v="278.5"/>
    <n v="2026"/>
  </r>
  <r>
    <x v="374"/>
    <s v="China"/>
    <x v="0"/>
    <x v="7"/>
    <x v="2"/>
    <n v="845053"/>
    <n v="52"/>
    <n v="315"/>
    <n v="1.5"/>
    <n v="190498"/>
    <n v="37143"/>
    <n v="23.9"/>
    <s v="No"/>
    <n v="38.9"/>
    <n v="122.3"/>
    <n v="2026"/>
  </r>
  <r>
    <x v="375"/>
    <s v="India"/>
    <x v="0"/>
    <x v="2"/>
    <x v="0"/>
    <n v="190031"/>
    <n v="95"/>
    <n v="640"/>
    <n v="2.2000000000000002"/>
    <n v="68609"/>
    <n v="38889"/>
    <n v="23.4"/>
    <s v="No"/>
    <n v="31.6"/>
    <n v="288.8"/>
    <n v="2026"/>
  </r>
  <r>
    <x v="376"/>
    <s v="Germany"/>
    <x v="3"/>
    <x v="0"/>
    <x v="1"/>
    <n v="770327"/>
    <n v="92"/>
    <n v="498"/>
    <n v="2.4"/>
    <n v="81692"/>
    <n v="46100"/>
    <n v="25"/>
    <s v="Yes"/>
    <n v="43"/>
    <n v="223.9"/>
    <n v="2026"/>
  </r>
  <r>
    <x v="377"/>
    <s v="France"/>
    <x v="3"/>
    <x v="4"/>
    <x v="3"/>
    <n v="143337"/>
    <n v="116"/>
    <n v="513"/>
    <n v="1.49"/>
    <n v="126184"/>
    <n v="56761"/>
    <n v="16"/>
    <s v="No"/>
    <n v="10"/>
    <n v="85.7"/>
    <n v="2026"/>
  </r>
  <r>
    <x v="378"/>
    <s v="United Kingdom"/>
    <x v="3"/>
    <x v="7"/>
    <x v="2"/>
    <n v="411813"/>
    <n v="68"/>
    <n v="402"/>
    <n v="0.95"/>
    <n v="75295"/>
    <n v="31276"/>
    <n v="18.399999999999999"/>
    <s v="No"/>
    <n v="38.4"/>
    <n v="93.4"/>
    <n v="2026"/>
  </r>
  <r>
    <x v="379"/>
    <s v="United States"/>
    <x v="1"/>
    <x v="8"/>
    <x v="0"/>
    <n v="694782"/>
    <n v="51"/>
    <n v="336"/>
    <n v="2.83"/>
    <n v="20912"/>
    <n v="43579"/>
    <n v="16.399999999999999"/>
    <s v="No"/>
    <n v="25"/>
    <n v="72.2"/>
    <n v="2026"/>
  </r>
  <r>
    <x v="380"/>
    <s v="Canada"/>
    <x v="1"/>
    <x v="7"/>
    <x v="2"/>
    <n v="227289"/>
    <n v="118"/>
    <n v="293"/>
    <n v="0.54"/>
    <n v="59043"/>
    <n v="34927"/>
    <n v="24.7"/>
    <s v="Yes"/>
    <n v="25.8"/>
    <n v="158.1"/>
    <n v="2026"/>
  </r>
  <r>
    <x v="381"/>
    <s v="Japan"/>
    <x v="0"/>
    <x v="7"/>
    <x v="2"/>
    <n v="231185"/>
    <n v="97"/>
    <n v="538"/>
    <n v="2.17"/>
    <n v="151215"/>
    <n v="48785"/>
    <n v="13.8"/>
    <s v="No"/>
    <n v="35"/>
    <n v="152.9"/>
    <n v="2026"/>
  </r>
  <r>
    <x v="382"/>
    <s v="Japan"/>
    <x v="0"/>
    <x v="0"/>
    <x v="2"/>
    <n v="265482"/>
    <n v="105"/>
    <n v="598"/>
    <n v="1.66"/>
    <n v="172769"/>
    <n v="69838"/>
    <n v="17.399999999999999"/>
    <s v="Yes"/>
    <n v="45.3"/>
    <n v="260"/>
    <n v="2026"/>
  </r>
  <r>
    <x v="383"/>
    <s v="India"/>
    <x v="0"/>
    <x v="7"/>
    <x v="3"/>
    <n v="423608"/>
    <n v="48"/>
    <n v="618"/>
    <n v="2.57"/>
    <n v="109682"/>
    <n v="45522"/>
    <n v="13.8"/>
    <s v="Yes"/>
    <n v="64.5"/>
    <n v="212.5"/>
    <n v="2026"/>
  </r>
  <r>
    <x v="384"/>
    <s v="Australia"/>
    <x v="2"/>
    <x v="4"/>
    <x v="0"/>
    <n v="147629"/>
    <n v="60"/>
    <n v="551"/>
    <n v="2.44"/>
    <n v="186796"/>
    <n v="76826"/>
    <n v="23.6"/>
    <s v="No"/>
    <n v="12.9"/>
    <n v="186.5"/>
    <n v="2026"/>
  </r>
  <r>
    <x v="385"/>
    <s v="Germany"/>
    <x v="3"/>
    <x v="6"/>
    <x v="3"/>
    <n v="151329"/>
    <n v="47"/>
    <n v="488"/>
    <n v="1.18"/>
    <n v="120572"/>
    <n v="46403"/>
    <n v="17.600000000000001"/>
    <s v="Yes"/>
    <n v="22.3"/>
    <n v="195.3"/>
    <n v="2026"/>
  </r>
  <r>
    <x v="386"/>
    <s v="Norway"/>
    <x v="3"/>
    <x v="9"/>
    <x v="0"/>
    <n v="201714"/>
    <n v="75"/>
    <n v="452"/>
    <n v="2.86"/>
    <n v="32730"/>
    <n v="67929"/>
    <n v="23.4"/>
    <s v="Yes"/>
    <n v="43.9"/>
    <n v="59.5"/>
    <n v="2026"/>
  </r>
  <r>
    <x v="387"/>
    <s v="Australia"/>
    <x v="2"/>
    <x v="2"/>
    <x v="3"/>
    <n v="567144"/>
    <n v="57"/>
    <n v="622"/>
    <n v="1.34"/>
    <n v="135897"/>
    <n v="42229"/>
    <n v="17.399999999999999"/>
    <s v="Yes"/>
    <n v="9.5"/>
    <n v="90.6"/>
    <n v="2026"/>
  </r>
  <r>
    <x v="388"/>
    <s v="Australia"/>
    <x v="2"/>
    <x v="2"/>
    <x v="2"/>
    <n v="228693"/>
    <n v="70"/>
    <n v="425"/>
    <n v="1.33"/>
    <n v="134626"/>
    <n v="25567"/>
    <n v="21.6"/>
    <s v="Yes"/>
    <n v="14.6"/>
    <n v="272.5"/>
    <n v="2026"/>
  </r>
  <r>
    <x v="389"/>
    <s v="Canada"/>
    <x v="1"/>
    <x v="8"/>
    <x v="2"/>
    <n v="808705"/>
    <n v="78"/>
    <n v="254"/>
    <n v="2.5099999999999998"/>
    <n v="111948"/>
    <n v="47635"/>
    <n v="18.399999999999999"/>
    <s v="No"/>
    <n v="24.4"/>
    <n v="45.3"/>
    <n v="2026"/>
  </r>
  <r>
    <x v="390"/>
    <s v="Canada"/>
    <x v="1"/>
    <x v="5"/>
    <x v="1"/>
    <n v="425940"/>
    <n v="103"/>
    <n v="486"/>
    <n v="2.25"/>
    <n v="179989"/>
    <n v="56184"/>
    <n v="12.5"/>
    <s v="Yes"/>
    <n v="29.9"/>
    <n v="67.099999999999994"/>
    <n v="2026"/>
  </r>
  <r>
    <x v="391"/>
    <s v="France"/>
    <x v="3"/>
    <x v="2"/>
    <x v="2"/>
    <n v="358283"/>
    <n v="73"/>
    <n v="363"/>
    <n v="0.65"/>
    <n v="116105"/>
    <n v="49567"/>
    <n v="18.7"/>
    <s v="No"/>
    <n v="38"/>
    <n v="213.7"/>
    <n v="2026"/>
  </r>
  <r>
    <x v="392"/>
    <s v="Australia"/>
    <x v="2"/>
    <x v="6"/>
    <x v="2"/>
    <n v="24441"/>
    <n v="57"/>
    <n v="395"/>
    <n v="1.73"/>
    <n v="140634"/>
    <n v="74685"/>
    <n v="24.2"/>
    <s v="Yes"/>
    <n v="43.3"/>
    <n v="206.1"/>
    <n v="2026"/>
  </r>
  <r>
    <x v="393"/>
    <s v="Australia"/>
    <x v="2"/>
    <x v="3"/>
    <x v="0"/>
    <n v="436925"/>
    <n v="101"/>
    <n v="640"/>
    <n v="2.79"/>
    <n v="23508"/>
    <n v="27708"/>
    <n v="13"/>
    <s v="Yes"/>
    <n v="26.6"/>
    <n v="213.9"/>
    <n v="2026"/>
  </r>
  <r>
    <x v="394"/>
    <s v="France"/>
    <x v="3"/>
    <x v="6"/>
    <x v="3"/>
    <n v="147833"/>
    <n v="93"/>
    <n v="272"/>
    <n v="1.46"/>
    <n v="190758"/>
    <n v="51993"/>
    <n v="17.5"/>
    <s v="No"/>
    <n v="30.8"/>
    <n v="9.6"/>
    <n v="2026"/>
  </r>
  <r>
    <x v="395"/>
    <s v="Australia"/>
    <x v="2"/>
    <x v="7"/>
    <x v="3"/>
    <n v="546165"/>
    <n v="58"/>
    <n v="560"/>
    <n v="2.48"/>
    <n v="190863"/>
    <n v="59230"/>
    <n v="19"/>
    <s v="No"/>
    <n v="33.299999999999997"/>
    <n v="93.8"/>
    <n v="2026"/>
  </r>
  <r>
    <x v="396"/>
    <s v="Japan"/>
    <x v="0"/>
    <x v="4"/>
    <x v="2"/>
    <n v="465839"/>
    <n v="102"/>
    <n v="608"/>
    <n v="2.5"/>
    <n v="192348"/>
    <n v="36029"/>
    <n v="12.8"/>
    <s v="Yes"/>
    <n v="24.5"/>
    <n v="238.8"/>
    <n v="2026"/>
  </r>
  <r>
    <x v="397"/>
    <s v="India"/>
    <x v="0"/>
    <x v="6"/>
    <x v="2"/>
    <n v="316334"/>
    <n v="95"/>
    <n v="521"/>
    <n v="1.58"/>
    <n v="83663"/>
    <n v="50787"/>
    <n v="21.1"/>
    <s v="Yes"/>
    <n v="17.3"/>
    <n v="184.1"/>
    <n v="2026"/>
  </r>
  <r>
    <x v="398"/>
    <s v="United Kingdom"/>
    <x v="3"/>
    <x v="1"/>
    <x v="0"/>
    <n v="256795"/>
    <n v="47"/>
    <n v="538"/>
    <n v="1.78"/>
    <n v="109364"/>
    <n v="82058"/>
    <n v="20.3"/>
    <s v="No"/>
    <n v="26.7"/>
    <n v="260.3"/>
    <n v="2026"/>
  </r>
  <r>
    <x v="399"/>
    <s v="Australia"/>
    <x v="2"/>
    <x v="7"/>
    <x v="0"/>
    <n v="198942"/>
    <n v="106"/>
    <n v="520"/>
    <n v="1.1599999999999999"/>
    <n v="171992"/>
    <n v="75533"/>
    <n v="21"/>
    <s v="Yes"/>
    <n v="53.8"/>
    <n v="90.2"/>
    <n v="2026"/>
  </r>
  <r>
    <x v="400"/>
    <s v="Canada"/>
    <x v="1"/>
    <x v="4"/>
    <x v="0"/>
    <n v="764498"/>
    <n v="109"/>
    <n v="309"/>
    <n v="1.47"/>
    <n v="96985"/>
    <n v="47209"/>
    <n v="13.6"/>
    <s v="No"/>
    <n v="15.6"/>
    <n v="211.2"/>
    <n v="2026"/>
  </r>
  <r>
    <x v="401"/>
    <s v="China"/>
    <x v="0"/>
    <x v="3"/>
    <x v="0"/>
    <n v="621346"/>
    <n v="106"/>
    <n v="363"/>
    <n v="0.8"/>
    <n v="141370"/>
    <n v="75753"/>
    <n v="18.899999999999999"/>
    <s v="No"/>
    <n v="5.6"/>
    <n v="274.3"/>
    <n v="2026"/>
  </r>
  <r>
    <x v="402"/>
    <s v="India"/>
    <x v="0"/>
    <x v="0"/>
    <x v="2"/>
    <n v="628695"/>
    <n v="57"/>
    <n v="387"/>
    <n v="1.74"/>
    <n v="134091"/>
    <n v="31570"/>
    <n v="18.100000000000001"/>
    <s v="No"/>
    <n v="50.9"/>
    <n v="16.2"/>
    <n v="2026"/>
  </r>
  <r>
    <x v="403"/>
    <s v="China"/>
    <x v="0"/>
    <x v="6"/>
    <x v="0"/>
    <n v="316188"/>
    <n v="46"/>
    <n v="263"/>
    <n v="1.33"/>
    <n v="28666"/>
    <n v="56699"/>
    <n v="22.4"/>
    <s v="No"/>
    <n v="7.4"/>
    <n v="246.5"/>
    <n v="2026"/>
  </r>
  <r>
    <x v="404"/>
    <s v="Japan"/>
    <x v="0"/>
    <x v="6"/>
    <x v="1"/>
    <n v="519619"/>
    <n v="73"/>
    <n v="438"/>
    <n v="2.9"/>
    <n v="45451"/>
    <n v="72257"/>
    <n v="13.7"/>
    <s v="Yes"/>
    <n v="28.2"/>
    <n v="183.6"/>
    <n v="2026"/>
  </r>
  <r>
    <x v="405"/>
    <s v="Australia"/>
    <x v="2"/>
    <x v="4"/>
    <x v="1"/>
    <n v="136861"/>
    <n v="78"/>
    <n v="482"/>
    <n v="0.74"/>
    <n v="197100"/>
    <n v="64540"/>
    <n v="16.7"/>
    <s v="Yes"/>
    <n v="58.6"/>
    <n v="145.9"/>
    <n v="2026"/>
  </r>
  <r>
    <x v="406"/>
    <s v="Germany"/>
    <x v="3"/>
    <x v="1"/>
    <x v="1"/>
    <n v="314180"/>
    <n v="118"/>
    <n v="457"/>
    <n v="2.82"/>
    <n v="140021"/>
    <n v="26706"/>
    <n v="12.3"/>
    <s v="Yes"/>
    <n v="28.1"/>
    <n v="10.3"/>
    <n v="2026"/>
  </r>
  <r>
    <x v="407"/>
    <s v="Australia"/>
    <x v="2"/>
    <x v="4"/>
    <x v="1"/>
    <n v="797995"/>
    <n v="115"/>
    <n v="273"/>
    <n v="2.34"/>
    <n v="1055"/>
    <n v="48915"/>
    <n v="22.2"/>
    <s v="Yes"/>
    <n v="27.9"/>
    <n v="172.5"/>
    <n v="2026"/>
  </r>
  <r>
    <x v="408"/>
    <s v="France"/>
    <x v="3"/>
    <x v="1"/>
    <x v="2"/>
    <n v="671109"/>
    <n v="103"/>
    <n v="263"/>
    <n v="2.4"/>
    <n v="84414"/>
    <n v="26390"/>
    <n v="15.7"/>
    <s v="No"/>
    <n v="6.5"/>
    <n v="22.9"/>
    <n v="2026"/>
  </r>
  <r>
    <x v="409"/>
    <s v="China"/>
    <x v="0"/>
    <x v="5"/>
    <x v="3"/>
    <n v="516527"/>
    <n v="79"/>
    <n v="330"/>
    <n v="2.91"/>
    <n v="157159"/>
    <n v="81038"/>
    <n v="23.5"/>
    <s v="No"/>
    <n v="54.4"/>
    <n v="165.6"/>
    <n v="2026"/>
  </r>
  <r>
    <x v="410"/>
    <s v="United States"/>
    <x v="1"/>
    <x v="2"/>
    <x v="2"/>
    <n v="647326"/>
    <n v="72"/>
    <n v="307"/>
    <n v="1.17"/>
    <n v="46477"/>
    <n v="78648"/>
    <n v="13.7"/>
    <s v="No"/>
    <n v="22.7"/>
    <n v="224.6"/>
    <n v="2026"/>
  </r>
  <r>
    <x v="411"/>
    <s v="China"/>
    <x v="0"/>
    <x v="2"/>
    <x v="2"/>
    <n v="113325"/>
    <n v="79"/>
    <n v="381"/>
    <n v="1.27"/>
    <n v="66260"/>
    <n v="68686"/>
    <n v="12.4"/>
    <s v="Yes"/>
    <n v="32.200000000000003"/>
    <n v="169.5"/>
    <n v="2026"/>
  </r>
  <r>
    <x v="412"/>
    <s v="Norway"/>
    <x v="3"/>
    <x v="5"/>
    <x v="2"/>
    <n v="668615"/>
    <n v="71"/>
    <n v="560"/>
    <n v="1.1100000000000001"/>
    <n v="64606"/>
    <n v="33069"/>
    <n v="13.3"/>
    <s v="No"/>
    <n v="63.3"/>
    <n v="133.6"/>
    <n v="2026"/>
  </r>
  <r>
    <x v="413"/>
    <s v="India"/>
    <x v="0"/>
    <x v="6"/>
    <x v="3"/>
    <n v="553652"/>
    <n v="111"/>
    <n v="349"/>
    <n v="2.3199999999999998"/>
    <n v="192602"/>
    <n v="32166"/>
    <n v="23.8"/>
    <s v="Yes"/>
    <n v="8.4"/>
    <n v="290"/>
    <n v="2026"/>
  </r>
  <r>
    <x v="414"/>
    <s v="United States"/>
    <x v="1"/>
    <x v="7"/>
    <x v="2"/>
    <n v="398480"/>
    <n v="70"/>
    <n v="568"/>
    <n v="1"/>
    <n v="103730"/>
    <n v="33149"/>
    <n v="23"/>
    <s v="No"/>
    <n v="15"/>
    <n v="260.10000000000002"/>
    <n v="2026"/>
  </r>
  <r>
    <x v="415"/>
    <s v="Canada"/>
    <x v="1"/>
    <x v="7"/>
    <x v="1"/>
    <n v="148599"/>
    <n v="51"/>
    <n v="291"/>
    <n v="1.7"/>
    <n v="191757"/>
    <n v="73288"/>
    <n v="22"/>
    <s v="Yes"/>
    <n v="56"/>
    <n v="287.3"/>
    <n v="2026"/>
  </r>
  <r>
    <x v="416"/>
    <s v="Australia"/>
    <x v="2"/>
    <x v="6"/>
    <x v="1"/>
    <n v="102675"/>
    <n v="60"/>
    <n v="334"/>
    <n v="1.59"/>
    <n v="45931"/>
    <n v="71780"/>
    <n v="23"/>
    <s v="No"/>
    <n v="42"/>
    <n v="242.4"/>
    <n v="2026"/>
  </r>
  <r>
    <x v="417"/>
    <s v="Germany"/>
    <x v="3"/>
    <x v="8"/>
    <x v="1"/>
    <n v="24614"/>
    <n v="101"/>
    <n v="546"/>
    <n v="2.91"/>
    <n v="165880"/>
    <n v="73136"/>
    <n v="23"/>
    <s v="Yes"/>
    <n v="63.9"/>
    <n v="69.5"/>
    <n v="20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715D0A-3E81-C34C-82D6-C3E46B3EA84B}"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D421" firstHeaderRow="1" firstDataRow="1" firstDataCol="3"/>
  <pivotFields count="16">
    <pivotField axis="axisRow" compact="0" outline="0" showAll="0" defaultSubtotal="0">
      <items count="41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s>
    </pivotField>
    <pivotField compact="0" outline="0" showAll="0" defaultSubtotal="0"/>
    <pivotField axis="axisRow" compact="0" outline="0" showAll="0" defaultSubtotal="0">
      <items count="4">
        <item x="0"/>
        <item x="3"/>
        <item x="1"/>
        <item x="2"/>
      </items>
    </pivotField>
    <pivotField compact="0" outline="0" showAll="0" defaultSubtotal="0"/>
    <pivotField axis="axisRow" compact="0" outline="0" showAll="0" defaultSubtotal="0">
      <items count="4">
        <item x="0"/>
        <item x="1"/>
        <item x="2"/>
        <item x="3"/>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3">
    <field x="0"/>
    <field x="2"/>
    <field x="4"/>
  </rowFields>
  <rowItems count="419">
    <i>
      <x/>
      <x/>
      <x/>
    </i>
    <i>
      <x v="1"/>
      <x v="2"/>
      <x v="1"/>
    </i>
    <i>
      <x v="2"/>
      <x v="3"/>
      <x/>
    </i>
    <i>
      <x v="3"/>
      <x/>
      <x v="1"/>
    </i>
    <i>
      <x v="4"/>
      <x v="2"/>
      <x v="2"/>
    </i>
    <i>
      <x v="5"/>
      <x v="2"/>
      <x v="3"/>
    </i>
    <i>
      <x v="6"/>
      <x v="1"/>
      <x/>
    </i>
    <i>
      <x v="7"/>
      <x/>
      <x v="2"/>
    </i>
    <i>
      <x v="8"/>
      <x/>
      <x/>
    </i>
    <i>
      <x v="9"/>
      <x/>
      <x/>
    </i>
    <i>
      <x v="10"/>
      <x v="2"/>
      <x v="2"/>
    </i>
    <i>
      <x v="11"/>
      <x v="2"/>
      <x v="1"/>
    </i>
    <i>
      <x v="12"/>
      <x v="1"/>
      <x v="2"/>
    </i>
    <i>
      <x v="13"/>
      <x v="3"/>
      <x/>
    </i>
    <i>
      <x v="14"/>
      <x v="1"/>
      <x v="3"/>
    </i>
    <i>
      <x v="15"/>
      <x/>
      <x v="3"/>
    </i>
    <i>
      <x v="16"/>
      <x/>
      <x v="3"/>
    </i>
    <i>
      <x v="17"/>
      <x/>
      <x v="3"/>
    </i>
    <i>
      <x v="18"/>
      <x v="1"/>
      <x v="1"/>
    </i>
    <i>
      <x v="19"/>
      <x/>
      <x v="2"/>
    </i>
    <i>
      <x v="20"/>
      <x v="1"/>
      <x/>
    </i>
    <i>
      <x v="21"/>
      <x v="1"/>
      <x v="2"/>
    </i>
    <i>
      <x v="22"/>
      <x/>
      <x v="1"/>
    </i>
    <i>
      <x v="23"/>
      <x v="1"/>
      <x v="3"/>
    </i>
    <i>
      <x v="24"/>
      <x v="2"/>
      <x v="2"/>
    </i>
    <i>
      <x v="25"/>
      <x/>
      <x v="3"/>
    </i>
    <i>
      <x v="26"/>
      <x/>
      <x v="1"/>
    </i>
    <i>
      <x v="27"/>
      <x v="1"/>
      <x v="1"/>
    </i>
    <i>
      <x v="28"/>
      <x v="3"/>
      <x/>
    </i>
    <i>
      <x v="29"/>
      <x/>
      <x v="2"/>
    </i>
    <i>
      <x v="30"/>
      <x/>
      <x v="1"/>
    </i>
    <i>
      <x v="31"/>
      <x v="1"/>
      <x v="2"/>
    </i>
    <i>
      <x v="32"/>
      <x v="1"/>
      <x v="1"/>
    </i>
    <i>
      <x v="33"/>
      <x v="1"/>
      <x v="3"/>
    </i>
    <i>
      <x v="34"/>
      <x v="1"/>
      <x v="2"/>
    </i>
    <i>
      <x v="35"/>
      <x v="2"/>
      <x v="3"/>
    </i>
    <i>
      <x v="36"/>
      <x v="2"/>
      <x v="3"/>
    </i>
    <i>
      <x v="37"/>
      <x v="1"/>
      <x/>
    </i>
    <i>
      <x v="38"/>
      <x v="3"/>
      <x/>
    </i>
    <i>
      <x v="39"/>
      <x v="1"/>
      <x v="3"/>
    </i>
    <i>
      <x v="40"/>
      <x v="1"/>
      <x v="2"/>
    </i>
    <i>
      <x v="41"/>
      <x v="1"/>
      <x v="3"/>
    </i>
    <i>
      <x v="42"/>
      <x v="3"/>
      <x v="2"/>
    </i>
    <i>
      <x v="43"/>
      <x v="3"/>
      <x v="3"/>
    </i>
    <i>
      <x v="44"/>
      <x v="1"/>
      <x v="2"/>
    </i>
    <i>
      <x v="45"/>
      <x v="2"/>
      <x v="3"/>
    </i>
    <i>
      <x v="46"/>
      <x v="2"/>
      <x v="1"/>
    </i>
    <i>
      <x v="47"/>
      <x/>
      <x v="3"/>
    </i>
    <i>
      <x v="48"/>
      <x v="2"/>
      <x v="3"/>
    </i>
    <i>
      <x v="49"/>
      <x/>
      <x v="3"/>
    </i>
    <i>
      <x v="50"/>
      <x v="2"/>
      <x/>
    </i>
    <i>
      <x v="51"/>
      <x/>
      <x v="3"/>
    </i>
    <i>
      <x v="52"/>
      <x/>
      <x/>
    </i>
    <i>
      <x v="53"/>
      <x v="1"/>
      <x v="3"/>
    </i>
    <i>
      <x v="54"/>
      <x v="1"/>
      <x v="3"/>
    </i>
    <i>
      <x v="55"/>
      <x v="1"/>
      <x v="1"/>
    </i>
    <i>
      <x v="56"/>
      <x v="1"/>
      <x v="3"/>
    </i>
    <i>
      <x v="57"/>
      <x/>
      <x v="3"/>
    </i>
    <i>
      <x v="58"/>
      <x/>
      <x v="1"/>
    </i>
    <i>
      <x v="59"/>
      <x v="2"/>
      <x v="3"/>
    </i>
    <i>
      <x v="60"/>
      <x v="1"/>
      <x v="3"/>
    </i>
    <i>
      <x v="61"/>
      <x v="2"/>
      <x v="1"/>
    </i>
    <i>
      <x v="62"/>
      <x v="2"/>
      <x v="3"/>
    </i>
    <i>
      <x v="63"/>
      <x/>
      <x v="2"/>
    </i>
    <i>
      <x v="64"/>
      <x v="2"/>
      <x v="2"/>
    </i>
    <i>
      <x v="65"/>
      <x v="1"/>
      <x/>
    </i>
    <i>
      <x v="66"/>
      <x v="3"/>
      <x v="3"/>
    </i>
    <i>
      <x v="67"/>
      <x v="1"/>
      <x v="1"/>
    </i>
    <i>
      <x v="68"/>
      <x v="2"/>
      <x v="2"/>
    </i>
    <i>
      <x v="69"/>
      <x v="3"/>
      <x/>
    </i>
    <i>
      <x v="70"/>
      <x v="3"/>
      <x v="1"/>
    </i>
    <i>
      <x v="71"/>
      <x v="1"/>
      <x v="2"/>
    </i>
    <i>
      <x v="72"/>
      <x v="1"/>
      <x v="1"/>
    </i>
    <i>
      <x v="73"/>
      <x/>
      <x/>
    </i>
    <i>
      <x v="74"/>
      <x v="2"/>
      <x v="3"/>
    </i>
    <i>
      <x v="75"/>
      <x v="1"/>
      <x v="2"/>
    </i>
    <i>
      <x v="76"/>
      <x v="2"/>
      <x v="3"/>
    </i>
    <i>
      <x v="77"/>
      <x v="1"/>
      <x v="2"/>
    </i>
    <i>
      <x v="78"/>
      <x/>
      <x v="2"/>
    </i>
    <i>
      <x v="79"/>
      <x v="2"/>
      <x/>
    </i>
    <i>
      <x v="80"/>
      <x v="3"/>
      <x/>
    </i>
    <i>
      <x v="81"/>
      <x v="1"/>
      <x v="1"/>
    </i>
    <i>
      <x v="82"/>
      <x/>
      <x v="1"/>
    </i>
    <i>
      <x v="83"/>
      <x v="1"/>
      <x/>
    </i>
    <i>
      <x v="84"/>
      <x/>
      <x/>
    </i>
    <i>
      <x v="85"/>
      <x v="2"/>
      <x v="1"/>
    </i>
    <i>
      <x v="86"/>
      <x v="1"/>
      <x v="3"/>
    </i>
    <i>
      <x v="87"/>
      <x v="1"/>
      <x v="3"/>
    </i>
    <i>
      <x v="88"/>
      <x v="1"/>
      <x v="1"/>
    </i>
    <i>
      <x v="89"/>
      <x v="3"/>
      <x v="1"/>
    </i>
    <i>
      <x v="90"/>
      <x v="1"/>
      <x v="1"/>
    </i>
    <i>
      <x v="91"/>
      <x/>
      <x v="1"/>
    </i>
    <i>
      <x v="92"/>
      <x/>
      <x/>
    </i>
    <i>
      <x v="93"/>
      <x/>
      <x v="2"/>
    </i>
    <i>
      <x v="94"/>
      <x/>
      <x v="2"/>
    </i>
    <i>
      <x v="95"/>
      <x/>
      <x v="2"/>
    </i>
    <i>
      <x v="96"/>
      <x v="2"/>
      <x/>
    </i>
    <i>
      <x v="97"/>
      <x v="1"/>
      <x v="1"/>
    </i>
    <i>
      <x v="98"/>
      <x v="1"/>
      <x v="1"/>
    </i>
    <i>
      <x v="99"/>
      <x v="1"/>
      <x/>
    </i>
    <i>
      <x v="100"/>
      <x v="2"/>
      <x v="3"/>
    </i>
    <i>
      <x v="101"/>
      <x v="1"/>
      <x v="1"/>
    </i>
    <i>
      <x v="102"/>
      <x v="1"/>
      <x v="1"/>
    </i>
    <i>
      <x v="103"/>
      <x v="3"/>
      <x v="2"/>
    </i>
    <i>
      <x v="104"/>
      <x v="3"/>
      <x v="3"/>
    </i>
    <i>
      <x v="105"/>
      <x v="1"/>
      <x v="1"/>
    </i>
    <i>
      <x v="106"/>
      <x v="2"/>
      <x v="2"/>
    </i>
    <i>
      <x v="107"/>
      <x v="2"/>
      <x v="3"/>
    </i>
    <i>
      <x v="108"/>
      <x/>
      <x v="3"/>
    </i>
    <i>
      <x v="109"/>
      <x/>
      <x v="2"/>
    </i>
    <i>
      <x v="110"/>
      <x/>
      <x v="2"/>
    </i>
    <i>
      <x v="111"/>
      <x v="1"/>
      <x v="3"/>
    </i>
    <i>
      <x v="112"/>
      <x v="2"/>
      <x v="3"/>
    </i>
    <i>
      <x v="113"/>
      <x v="1"/>
      <x v="3"/>
    </i>
    <i>
      <x v="114"/>
      <x v="1"/>
      <x/>
    </i>
    <i>
      <x v="115"/>
      <x/>
      <x/>
    </i>
    <i>
      <x v="116"/>
      <x v="1"/>
      <x v="3"/>
    </i>
    <i>
      <x v="117"/>
      <x/>
      <x v="1"/>
    </i>
    <i>
      <x v="118"/>
      <x v="1"/>
      <x/>
    </i>
    <i>
      <x v="119"/>
      <x/>
      <x v="2"/>
    </i>
    <i>
      <x v="120"/>
      <x/>
      <x v="3"/>
    </i>
    <i>
      <x v="121"/>
      <x v="2"/>
      <x v="1"/>
    </i>
    <i>
      <x v="122"/>
      <x v="3"/>
      <x v="3"/>
    </i>
    <i>
      <x v="123"/>
      <x/>
      <x v="3"/>
    </i>
    <i>
      <x v="124"/>
      <x v="2"/>
      <x/>
    </i>
    <i>
      <x v="125"/>
      <x v="3"/>
      <x/>
    </i>
    <i>
      <x v="126"/>
      <x/>
      <x v="1"/>
    </i>
    <i>
      <x v="127"/>
      <x v="1"/>
      <x v="2"/>
    </i>
    <i>
      <x v="128"/>
      <x v="1"/>
      <x v="1"/>
    </i>
    <i>
      <x v="129"/>
      <x v="2"/>
      <x v="2"/>
    </i>
    <i>
      <x v="130"/>
      <x v="1"/>
      <x v="2"/>
    </i>
    <i>
      <x v="131"/>
      <x v="3"/>
      <x v="1"/>
    </i>
    <i>
      <x v="132"/>
      <x/>
      <x v="2"/>
    </i>
    <i>
      <x v="133"/>
      <x v="2"/>
      <x v="1"/>
    </i>
    <i>
      <x v="134"/>
      <x v="2"/>
      <x v="1"/>
    </i>
    <i>
      <x v="135"/>
      <x v="2"/>
      <x v="1"/>
    </i>
    <i>
      <x v="136"/>
      <x/>
      <x v="2"/>
    </i>
    <i>
      <x v="137"/>
      <x v="1"/>
      <x v="2"/>
    </i>
    <i>
      <x v="138"/>
      <x/>
      <x v="2"/>
    </i>
    <i>
      <x v="139"/>
      <x/>
      <x v="1"/>
    </i>
    <i>
      <x v="140"/>
      <x/>
      <x v="3"/>
    </i>
    <i>
      <x v="141"/>
      <x/>
      <x v="3"/>
    </i>
    <i>
      <x v="142"/>
      <x/>
      <x v="3"/>
    </i>
    <i>
      <x v="143"/>
      <x v="1"/>
      <x/>
    </i>
    <i>
      <x v="144"/>
      <x v="1"/>
      <x v="2"/>
    </i>
    <i>
      <x v="145"/>
      <x v="2"/>
      <x v="1"/>
    </i>
    <i>
      <x v="146"/>
      <x v="1"/>
      <x v="3"/>
    </i>
    <i>
      <x v="147"/>
      <x/>
      <x v="1"/>
    </i>
    <i>
      <x v="148"/>
      <x/>
      <x v="3"/>
    </i>
    <i>
      <x v="149"/>
      <x/>
      <x v="1"/>
    </i>
    <i>
      <x v="150"/>
      <x v="1"/>
      <x v="1"/>
    </i>
    <i>
      <x v="151"/>
      <x/>
      <x/>
    </i>
    <i>
      <x v="152"/>
      <x/>
      <x v="3"/>
    </i>
    <i>
      <x v="153"/>
      <x v="2"/>
      <x v="3"/>
    </i>
    <i>
      <x v="154"/>
      <x v="2"/>
      <x/>
    </i>
    <i>
      <x v="155"/>
      <x v="2"/>
      <x/>
    </i>
    <i>
      <x v="156"/>
      <x/>
      <x/>
    </i>
    <i>
      <x v="157"/>
      <x v="1"/>
      <x/>
    </i>
    <i>
      <x v="158"/>
      <x v="3"/>
      <x v="2"/>
    </i>
    <i>
      <x v="159"/>
      <x/>
      <x v="1"/>
    </i>
    <i>
      <x v="160"/>
      <x/>
      <x/>
    </i>
    <i>
      <x v="161"/>
      <x/>
      <x v="3"/>
    </i>
    <i>
      <x v="162"/>
      <x v="1"/>
      <x v="3"/>
    </i>
    <i>
      <x v="163"/>
      <x v="1"/>
      <x v="2"/>
    </i>
    <i>
      <x v="164"/>
      <x v="2"/>
      <x v="3"/>
    </i>
    <i>
      <x v="165"/>
      <x/>
      <x v="3"/>
    </i>
    <i>
      <x v="166"/>
      <x v="2"/>
      <x/>
    </i>
    <i>
      <x v="167"/>
      <x v="1"/>
      <x/>
    </i>
    <i>
      <x v="168"/>
      <x v="2"/>
      <x v="2"/>
    </i>
    <i>
      <x v="169"/>
      <x v="1"/>
      <x v="1"/>
    </i>
    <i>
      <x v="170"/>
      <x v="1"/>
      <x v="2"/>
    </i>
    <i>
      <x v="171"/>
      <x v="1"/>
      <x v="1"/>
    </i>
    <i>
      <x v="172"/>
      <x v="2"/>
      <x v="2"/>
    </i>
    <i>
      <x v="173"/>
      <x v="2"/>
      <x v="1"/>
    </i>
    <i>
      <x v="174"/>
      <x v="3"/>
      <x/>
    </i>
    <i>
      <x v="175"/>
      <x v="1"/>
      <x/>
    </i>
    <i>
      <x v="176"/>
      <x/>
      <x/>
    </i>
    <i>
      <x v="177"/>
      <x v="2"/>
      <x v="3"/>
    </i>
    <i>
      <x v="178"/>
      <x/>
      <x/>
    </i>
    <i>
      <x v="179"/>
      <x/>
      <x v="3"/>
    </i>
    <i>
      <x v="180"/>
      <x/>
      <x v="3"/>
    </i>
    <i>
      <x v="181"/>
      <x v="1"/>
      <x/>
    </i>
    <i>
      <x v="182"/>
      <x v="2"/>
      <x v="1"/>
    </i>
    <i>
      <x v="183"/>
      <x/>
      <x v="3"/>
    </i>
    <i>
      <x v="184"/>
      <x v="2"/>
      <x v="3"/>
    </i>
    <i>
      <x v="185"/>
      <x v="2"/>
      <x/>
    </i>
    <i>
      <x v="186"/>
      <x/>
      <x v="3"/>
    </i>
    <i>
      <x v="187"/>
      <x v="2"/>
      <x v="3"/>
    </i>
    <i>
      <x v="188"/>
      <x/>
      <x v="1"/>
    </i>
    <i>
      <x v="189"/>
      <x v="2"/>
      <x v="1"/>
    </i>
    <i>
      <x v="190"/>
      <x v="2"/>
      <x/>
    </i>
    <i>
      <x v="191"/>
      <x/>
      <x/>
    </i>
    <i>
      <x v="192"/>
      <x v="1"/>
      <x v="1"/>
    </i>
    <i>
      <x v="193"/>
      <x/>
      <x v="3"/>
    </i>
    <i>
      <x v="194"/>
      <x/>
      <x/>
    </i>
    <i>
      <x v="195"/>
      <x v="1"/>
      <x v="1"/>
    </i>
    <i>
      <x v="196"/>
      <x v="1"/>
      <x/>
    </i>
    <i>
      <x v="197"/>
      <x/>
      <x v="1"/>
    </i>
    <i>
      <x v="198"/>
      <x v="3"/>
      <x v="1"/>
    </i>
    <i>
      <x v="199"/>
      <x v="1"/>
      <x v="1"/>
    </i>
    <i>
      <x v="200"/>
      <x/>
      <x/>
    </i>
    <i>
      <x v="201"/>
      <x v="1"/>
      <x v="2"/>
    </i>
    <i>
      <x v="202"/>
      <x/>
      <x v="3"/>
    </i>
    <i>
      <x v="203"/>
      <x v="1"/>
      <x v="1"/>
    </i>
    <i>
      <x v="204"/>
      <x v="1"/>
      <x v="1"/>
    </i>
    <i>
      <x v="205"/>
      <x v="1"/>
      <x v="3"/>
    </i>
    <i>
      <x v="206"/>
      <x v="1"/>
      <x v="1"/>
    </i>
    <i>
      <x v="207"/>
      <x/>
      <x v="2"/>
    </i>
    <i>
      <x v="208"/>
      <x v="1"/>
      <x v="3"/>
    </i>
    <i>
      <x v="209"/>
      <x v="3"/>
      <x v="1"/>
    </i>
    <i>
      <x v="210"/>
      <x v="3"/>
      <x v="3"/>
    </i>
    <i>
      <x v="211"/>
      <x v="1"/>
      <x v="1"/>
    </i>
    <i>
      <x v="212"/>
      <x v="1"/>
      <x v="2"/>
    </i>
    <i>
      <x v="213"/>
      <x v="2"/>
      <x v="2"/>
    </i>
    <i>
      <x v="214"/>
      <x/>
      <x v="3"/>
    </i>
    <i>
      <x v="215"/>
      <x v="1"/>
      <x v="3"/>
    </i>
    <i>
      <x v="216"/>
      <x v="3"/>
      <x v="1"/>
    </i>
    <i>
      <x v="217"/>
      <x v="3"/>
      <x/>
    </i>
    <i>
      <x v="218"/>
      <x/>
      <x/>
    </i>
    <i>
      <x v="219"/>
      <x/>
      <x v="1"/>
    </i>
    <i>
      <x v="220"/>
      <x/>
      <x v="2"/>
    </i>
    <i>
      <x v="221"/>
      <x v="1"/>
      <x v="2"/>
    </i>
    <i>
      <x v="222"/>
      <x v="1"/>
      <x v="2"/>
    </i>
    <i>
      <x v="223"/>
      <x v="2"/>
      <x v="1"/>
    </i>
    <i>
      <x v="224"/>
      <x v="1"/>
      <x v="1"/>
    </i>
    <i>
      <x v="225"/>
      <x v="2"/>
      <x v="2"/>
    </i>
    <i>
      <x v="226"/>
      <x/>
      <x v="1"/>
    </i>
    <i>
      <x v="227"/>
      <x v="3"/>
      <x v="2"/>
    </i>
    <i>
      <x v="228"/>
      <x/>
      <x v="3"/>
    </i>
    <i>
      <x v="229"/>
      <x v="3"/>
      <x/>
    </i>
    <i>
      <x v="230"/>
      <x v="1"/>
      <x/>
    </i>
    <i>
      <x v="231"/>
      <x/>
      <x/>
    </i>
    <i>
      <x v="232"/>
      <x v="3"/>
      <x v="3"/>
    </i>
    <i>
      <x v="233"/>
      <x/>
      <x v="3"/>
    </i>
    <i>
      <x v="234"/>
      <x v="1"/>
      <x v="2"/>
    </i>
    <i>
      <x v="235"/>
      <x v="1"/>
      <x v="3"/>
    </i>
    <i>
      <x v="236"/>
      <x v="2"/>
      <x/>
    </i>
    <i>
      <x v="237"/>
      <x v="2"/>
      <x v="1"/>
    </i>
    <i>
      <x v="238"/>
      <x v="1"/>
      <x v="2"/>
    </i>
    <i>
      <x v="239"/>
      <x/>
      <x v="1"/>
    </i>
    <i>
      <x v="240"/>
      <x v="1"/>
      <x v="2"/>
    </i>
    <i>
      <x v="241"/>
      <x v="1"/>
      <x v="2"/>
    </i>
    <i>
      <x v="242"/>
      <x v="2"/>
      <x v="3"/>
    </i>
    <i>
      <x v="243"/>
      <x v="1"/>
      <x/>
    </i>
    <i>
      <x v="244"/>
      <x v="1"/>
      <x v="1"/>
    </i>
    <i>
      <x v="245"/>
      <x v="1"/>
      <x v="2"/>
    </i>
    <i>
      <x v="246"/>
      <x/>
      <x/>
    </i>
    <i>
      <x v="247"/>
      <x/>
      <x/>
    </i>
    <i>
      <x v="248"/>
      <x v="1"/>
      <x/>
    </i>
    <i>
      <x v="249"/>
      <x v="1"/>
      <x v="2"/>
    </i>
    <i>
      <x v="250"/>
      <x/>
      <x v="1"/>
    </i>
    <i>
      <x v="251"/>
      <x/>
      <x/>
    </i>
    <i>
      <x v="252"/>
      <x v="2"/>
      <x v="1"/>
    </i>
    <i>
      <x v="253"/>
      <x v="1"/>
      <x v="1"/>
    </i>
    <i>
      <x v="254"/>
      <x v="1"/>
      <x v="1"/>
    </i>
    <i>
      <x v="255"/>
      <x v="1"/>
      <x/>
    </i>
    <i>
      <x v="256"/>
      <x/>
      <x v="3"/>
    </i>
    <i>
      <x v="257"/>
      <x/>
      <x v="1"/>
    </i>
    <i>
      <x v="258"/>
      <x v="3"/>
      <x v="3"/>
    </i>
    <i>
      <x v="259"/>
      <x/>
      <x/>
    </i>
    <i>
      <x v="260"/>
      <x v="1"/>
      <x v="3"/>
    </i>
    <i>
      <x v="261"/>
      <x v="1"/>
      <x v="3"/>
    </i>
    <i>
      <x v="262"/>
      <x v="1"/>
      <x v="1"/>
    </i>
    <i>
      <x v="263"/>
      <x v="1"/>
      <x/>
    </i>
    <i>
      <x v="264"/>
      <x v="1"/>
      <x v="3"/>
    </i>
    <i>
      <x v="265"/>
      <x/>
      <x v="1"/>
    </i>
    <i>
      <x v="266"/>
      <x v="2"/>
      <x/>
    </i>
    <i>
      <x v="267"/>
      <x/>
      <x v="1"/>
    </i>
    <i>
      <x v="268"/>
      <x v="2"/>
      <x v="1"/>
    </i>
    <i>
      <x v="269"/>
      <x v="2"/>
      <x v="2"/>
    </i>
    <i>
      <x v="270"/>
      <x v="2"/>
      <x v="3"/>
    </i>
    <i>
      <x v="271"/>
      <x v="1"/>
      <x v="2"/>
    </i>
    <i>
      <x v="272"/>
      <x v="1"/>
      <x v="2"/>
    </i>
    <i>
      <x v="273"/>
      <x/>
      <x/>
    </i>
    <i>
      <x v="274"/>
      <x v="1"/>
      <x v="2"/>
    </i>
    <i>
      <x v="275"/>
      <x v="1"/>
      <x v="1"/>
    </i>
    <i>
      <x v="276"/>
      <x v="1"/>
      <x v="2"/>
    </i>
    <i>
      <x v="277"/>
      <x v="1"/>
      <x v="1"/>
    </i>
    <i>
      <x v="278"/>
      <x/>
      <x v="2"/>
    </i>
    <i>
      <x v="279"/>
      <x v="3"/>
      <x v="1"/>
    </i>
    <i>
      <x v="280"/>
      <x v="1"/>
      <x v="1"/>
    </i>
    <i>
      <x v="281"/>
      <x v="1"/>
      <x/>
    </i>
    <i>
      <x v="282"/>
      <x v="3"/>
      <x v="2"/>
    </i>
    <i>
      <x v="283"/>
      <x v="1"/>
      <x/>
    </i>
    <i>
      <x v="284"/>
      <x v="1"/>
      <x/>
    </i>
    <i>
      <x v="285"/>
      <x/>
      <x v="1"/>
    </i>
    <i>
      <x v="286"/>
      <x v="2"/>
      <x v="3"/>
    </i>
    <i>
      <x v="287"/>
      <x v="2"/>
      <x v="1"/>
    </i>
    <i>
      <x v="288"/>
      <x/>
      <x v="1"/>
    </i>
    <i>
      <x v="289"/>
      <x/>
      <x v="1"/>
    </i>
    <i>
      <x v="290"/>
      <x v="1"/>
      <x/>
    </i>
    <i>
      <x v="291"/>
      <x v="2"/>
      <x v="2"/>
    </i>
    <i>
      <x v="292"/>
      <x/>
      <x v="1"/>
    </i>
    <i>
      <x v="293"/>
      <x v="2"/>
      <x v="2"/>
    </i>
    <i>
      <x v="294"/>
      <x/>
      <x/>
    </i>
    <i>
      <x v="295"/>
      <x v="1"/>
      <x/>
    </i>
    <i>
      <x v="296"/>
      <x v="1"/>
      <x v="3"/>
    </i>
    <i>
      <x v="297"/>
      <x v="1"/>
      <x v="1"/>
    </i>
    <i>
      <x v="298"/>
      <x/>
      <x v="2"/>
    </i>
    <i>
      <x v="299"/>
      <x v="2"/>
      <x v="3"/>
    </i>
    <i>
      <x v="300"/>
      <x v="1"/>
      <x v="1"/>
    </i>
    <i>
      <x v="301"/>
      <x v="1"/>
      <x/>
    </i>
    <i>
      <x v="302"/>
      <x v="1"/>
      <x v="2"/>
    </i>
    <i>
      <x v="303"/>
      <x/>
      <x v="2"/>
    </i>
    <i>
      <x v="304"/>
      <x v="3"/>
      <x v="2"/>
    </i>
    <i>
      <x v="305"/>
      <x/>
      <x/>
    </i>
    <i>
      <x v="306"/>
      <x v="1"/>
      <x v="2"/>
    </i>
    <i>
      <x v="307"/>
      <x v="1"/>
      <x/>
    </i>
    <i>
      <x v="308"/>
      <x v="1"/>
      <x/>
    </i>
    <i>
      <x v="309"/>
      <x v="2"/>
      <x/>
    </i>
    <i>
      <x v="310"/>
      <x v="3"/>
      <x v="3"/>
    </i>
    <i>
      <x v="311"/>
      <x/>
      <x v="2"/>
    </i>
    <i>
      <x v="312"/>
      <x v="2"/>
      <x v="1"/>
    </i>
    <i>
      <x v="313"/>
      <x v="1"/>
      <x/>
    </i>
    <i>
      <x v="314"/>
      <x/>
      <x v="3"/>
    </i>
    <i>
      <x v="315"/>
      <x v="3"/>
      <x/>
    </i>
    <i>
      <x v="316"/>
      <x v="1"/>
      <x v="1"/>
    </i>
    <i>
      <x v="317"/>
      <x/>
      <x/>
    </i>
    <i>
      <x v="318"/>
      <x/>
      <x/>
    </i>
    <i>
      <x v="319"/>
      <x/>
      <x v="1"/>
    </i>
    <i>
      <x v="320"/>
      <x/>
      <x v="3"/>
    </i>
    <i>
      <x v="321"/>
      <x/>
      <x v="3"/>
    </i>
    <i>
      <x v="322"/>
      <x/>
      <x v="2"/>
    </i>
    <i>
      <x v="323"/>
      <x v="1"/>
      <x v="2"/>
    </i>
    <i>
      <x v="324"/>
      <x v="3"/>
      <x v="2"/>
    </i>
    <i>
      <x v="325"/>
      <x v="1"/>
      <x v="1"/>
    </i>
    <i>
      <x v="326"/>
      <x v="1"/>
      <x v="3"/>
    </i>
    <i>
      <x v="327"/>
      <x v="1"/>
      <x v="1"/>
    </i>
    <i>
      <x v="328"/>
      <x v="2"/>
      <x/>
    </i>
    <i>
      <x v="329"/>
      <x/>
      <x v="2"/>
    </i>
    <i>
      <x v="330"/>
      <x v="1"/>
      <x v="3"/>
    </i>
    <i>
      <x v="331"/>
      <x v="2"/>
      <x v="3"/>
    </i>
    <i>
      <x v="332"/>
      <x/>
      <x v="3"/>
    </i>
    <i>
      <x v="333"/>
      <x/>
      <x v="3"/>
    </i>
    <i>
      <x v="334"/>
      <x v="1"/>
      <x v="2"/>
    </i>
    <i>
      <x v="335"/>
      <x v="2"/>
      <x/>
    </i>
    <i>
      <x v="336"/>
      <x v="2"/>
      <x v="3"/>
    </i>
    <i>
      <x v="337"/>
      <x v="1"/>
      <x v="2"/>
    </i>
    <i>
      <x v="338"/>
      <x v="1"/>
      <x/>
    </i>
    <i>
      <x v="339"/>
      <x/>
      <x/>
    </i>
    <i>
      <x v="340"/>
      <x v="1"/>
      <x v="3"/>
    </i>
    <i>
      <x v="341"/>
      <x v="1"/>
      <x v="2"/>
    </i>
    <i>
      <x v="342"/>
      <x v="1"/>
      <x v="1"/>
    </i>
    <i>
      <x v="343"/>
      <x v="1"/>
      <x v="2"/>
    </i>
    <i>
      <x v="344"/>
      <x v="1"/>
      <x v="3"/>
    </i>
    <i>
      <x v="345"/>
      <x/>
      <x/>
    </i>
    <i>
      <x v="346"/>
      <x v="3"/>
      <x v="1"/>
    </i>
    <i>
      <x v="347"/>
      <x v="1"/>
      <x v="2"/>
    </i>
    <i>
      <x v="348"/>
      <x v="1"/>
      <x v="2"/>
    </i>
    <i>
      <x v="349"/>
      <x/>
      <x v="3"/>
    </i>
    <i>
      <x v="350"/>
      <x v="1"/>
      <x v="2"/>
    </i>
    <i>
      <x v="351"/>
      <x/>
      <x v="3"/>
    </i>
    <i>
      <x v="352"/>
      <x/>
      <x v="2"/>
    </i>
    <i>
      <x v="353"/>
      <x v="1"/>
      <x v="2"/>
    </i>
    <i>
      <x v="354"/>
      <x v="1"/>
      <x v="3"/>
    </i>
    <i>
      <x v="355"/>
      <x v="2"/>
      <x v="3"/>
    </i>
    <i>
      <x v="356"/>
      <x/>
      <x/>
    </i>
    <i>
      <x v="357"/>
      <x v="3"/>
      <x/>
    </i>
    <i>
      <x v="358"/>
      <x v="1"/>
      <x v="1"/>
    </i>
    <i>
      <x v="359"/>
      <x v="3"/>
      <x v="2"/>
    </i>
    <i>
      <x v="360"/>
      <x v="2"/>
      <x v="3"/>
    </i>
    <i>
      <x v="361"/>
      <x v="1"/>
      <x/>
    </i>
    <i>
      <x v="362"/>
      <x v="3"/>
      <x v="1"/>
    </i>
    <i>
      <x v="363"/>
      <x v="3"/>
      <x v="3"/>
    </i>
    <i>
      <x v="364"/>
      <x v="3"/>
      <x v="1"/>
    </i>
    <i>
      <x v="365"/>
      <x/>
      <x v="1"/>
    </i>
    <i>
      <x v="366"/>
      <x/>
      <x v="1"/>
    </i>
    <i>
      <x v="367"/>
      <x v="2"/>
      <x v="2"/>
    </i>
    <i>
      <x v="368"/>
      <x/>
      <x/>
    </i>
    <i>
      <x v="369"/>
      <x v="1"/>
      <x/>
    </i>
    <i>
      <x v="370"/>
      <x v="2"/>
      <x v="1"/>
    </i>
    <i>
      <x v="371"/>
      <x/>
      <x/>
    </i>
    <i>
      <x v="372"/>
      <x v="1"/>
      <x v="2"/>
    </i>
    <i>
      <x v="373"/>
      <x v="1"/>
      <x v="1"/>
    </i>
    <i>
      <x v="374"/>
      <x/>
      <x v="2"/>
    </i>
    <i>
      <x v="375"/>
      <x/>
      <x/>
    </i>
    <i>
      <x v="376"/>
      <x v="1"/>
      <x v="1"/>
    </i>
    <i>
      <x v="377"/>
      <x v="1"/>
      <x v="3"/>
    </i>
    <i>
      <x v="378"/>
      <x v="1"/>
      <x v="2"/>
    </i>
    <i>
      <x v="379"/>
      <x v="2"/>
      <x/>
    </i>
    <i>
      <x v="380"/>
      <x v="2"/>
      <x v="2"/>
    </i>
    <i>
      <x v="381"/>
      <x/>
      <x v="2"/>
    </i>
    <i>
      <x v="382"/>
      <x/>
      <x v="2"/>
    </i>
    <i>
      <x v="383"/>
      <x/>
      <x v="3"/>
    </i>
    <i>
      <x v="384"/>
      <x v="3"/>
      <x/>
    </i>
    <i>
      <x v="385"/>
      <x v="1"/>
      <x v="3"/>
    </i>
    <i>
      <x v="386"/>
      <x v="1"/>
      <x/>
    </i>
    <i>
      <x v="387"/>
      <x v="3"/>
      <x v="3"/>
    </i>
    <i>
      <x v="388"/>
      <x v="3"/>
      <x v="2"/>
    </i>
    <i>
      <x v="389"/>
      <x v="2"/>
      <x v="2"/>
    </i>
    <i>
      <x v="390"/>
      <x v="2"/>
      <x v="1"/>
    </i>
    <i>
      <x v="391"/>
      <x v="1"/>
      <x v="2"/>
    </i>
    <i>
      <x v="392"/>
      <x v="3"/>
      <x v="2"/>
    </i>
    <i>
      <x v="393"/>
      <x v="3"/>
      <x/>
    </i>
    <i>
      <x v="394"/>
      <x v="1"/>
      <x v="3"/>
    </i>
    <i>
      <x v="395"/>
      <x v="3"/>
      <x v="3"/>
    </i>
    <i>
      <x v="396"/>
      <x/>
      <x v="2"/>
    </i>
    <i>
      <x v="397"/>
      <x/>
      <x v="2"/>
    </i>
    <i>
      <x v="398"/>
      <x v="1"/>
      <x/>
    </i>
    <i>
      <x v="399"/>
      <x v="3"/>
      <x/>
    </i>
    <i>
      <x v="400"/>
      <x v="2"/>
      <x/>
    </i>
    <i>
      <x v="401"/>
      <x/>
      <x/>
    </i>
    <i>
      <x v="402"/>
      <x/>
      <x v="2"/>
    </i>
    <i>
      <x v="403"/>
      <x/>
      <x/>
    </i>
    <i>
      <x v="404"/>
      <x/>
      <x v="1"/>
    </i>
    <i>
      <x v="405"/>
      <x v="3"/>
      <x v="1"/>
    </i>
    <i>
      <x v="406"/>
      <x v="1"/>
      <x v="1"/>
    </i>
    <i>
      <x v="407"/>
      <x v="3"/>
      <x v="1"/>
    </i>
    <i>
      <x v="408"/>
      <x v="1"/>
      <x v="2"/>
    </i>
    <i>
      <x v="409"/>
      <x/>
      <x v="3"/>
    </i>
    <i>
      <x v="410"/>
      <x v="2"/>
      <x v="2"/>
    </i>
    <i>
      <x v="411"/>
      <x/>
      <x v="2"/>
    </i>
    <i>
      <x v="412"/>
      <x v="1"/>
      <x v="2"/>
    </i>
    <i>
      <x v="413"/>
      <x/>
      <x v="3"/>
    </i>
    <i>
      <x v="414"/>
      <x v="2"/>
      <x v="2"/>
    </i>
    <i>
      <x v="415"/>
      <x v="2"/>
      <x v="1"/>
    </i>
    <i>
      <x v="416"/>
      <x v="3"/>
      <x v="1"/>
    </i>
    <i>
      <x v="417"/>
      <x v="1"/>
      <x v="1"/>
    </i>
    <i t="grand">
      <x/>
    </i>
  </rowItems>
  <colItems count="1">
    <i/>
  </colItems>
  <dataFields count="1">
    <dataField name="Sum of ev_sales_units" fld="5" baseField="0" baseItem="0" numFmtId="164"/>
  </dataFields>
  <formats count="2">
    <format dxfId="38">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3F92FE-C600-F342-B241-826386CBA913}" name="Table1" displayName="Table1" ref="H3:L8" totalsRowCount="1" headerRowDxfId="36" dataDxfId="35">
  <autoFilter ref="H3:L7" xr:uid="{303F92FE-C600-F342-B241-826386CBA913}"/>
  <tableColumns count="5">
    <tableColumn id="1" xr3:uid="{EA3FBC66-F85A-3D4F-A894-9CCE0D775326}" name="Region/VehicleType" totalsRowLabel="TotalSales of Vehicle Type" dataDxfId="34" totalsRowDxfId="33"/>
    <tableColumn id="2" xr3:uid="{C2C7F0CB-1FFA-9446-B5EE-8075AA8E02FA}" name="Bus" totalsRowFunction="custom" dataDxfId="32" totalsRowDxfId="31">
      <totalsRowFormula>SUM(Table1[Bus])</totalsRowFormula>
    </tableColumn>
    <tableColumn id="3" xr3:uid="{CCE8F37B-B8F8-3446-BA39-EEEE1159E2C1}" name="Car" totalsRowFunction="custom" dataDxfId="30" totalsRowDxfId="29">
      <calculatedColumnFormula>SUMIFS(D3:D420,B3:B420,B3,C3:C420,C4)</calculatedColumnFormula>
      <totalsRowFormula>SUM(Table1[Car])</totalsRowFormula>
    </tableColumn>
    <tableColumn id="4" xr3:uid="{BF186FB9-7DB3-0D46-9684-1B3C078CA901}" name="Suv" totalsRowFunction="custom" dataDxfId="28" totalsRowDxfId="27">
      <calculatedColumnFormula>SUMIFS(D3:D420,B3:B420,B3,C3:C420,C7)</calculatedColumnFormula>
      <totalsRowFormula>SUM(Table1[Suv])</totalsRowFormula>
    </tableColumn>
    <tableColumn id="5" xr3:uid="{EC95B65D-7285-6548-AB70-CAB57B8CB9EA}" name="Truck" totalsRowFunction="custom" dataDxfId="26" totalsRowDxfId="25">
      <calculatedColumnFormula>SUMIFS(D3:D420,B3:B420,B3,C3:C420,C8)</calculatedColumnFormula>
      <totalsRowFormula>SUM(Table1[Truck])</totalsRowFormula>
    </tableColumn>
  </tableColumns>
  <tableStyleInfo name="TableStyleLight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A5E1302-6ACF-4E40-994D-5817EC309613}" name="Table35" displayName="Table35" ref="H16:I20" totalsRowShown="0" headerRowDxfId="24">
  <autoFilter ref="H16:I20" xr:uid="{7A5E1302-6ACF-4E40-994D-5817EC309613}"/>
  <tableColumns count="2">
    <tableColumn id="1" xr3:uid="{CD8122E3-FA05-C149-BC7C-9D98015606C0}" name="Regional Sales "/>
    <tableColumn id="2" xr3:uid="{9911C567-703D-A74A-BF8C-45B9F8898A11}" name="count"/>
  </tableColumns>
  <tableStyleInfo name="TableStyleLight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F0AFC1A-FB23-5D4E-AAEE-B7DE8A813ED8}" name="Table6" displayName="Table6" ref="A1:B12" totalsRowShown="0">
  <autoFilter ref="A1:B12" xr:uid="{FF0AFC1A-FB23-5D4E-AAEE-B7DE8A813ED8}"/>
  <tableColumns count="2">
    <tableColumn id="1" xr3:uid="{E0A68625-1C95-0641-B23B-B4E7629A0AA9}" name="0"/>
    <tableColumn id="2" xr3:uid="{31801C2E-CBD9-7A4B-BF04-D5B17FFFFB8D}" name="Sum of EV_Sales_Unit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348AA7-24BC-AD40-95CA-3ABB23A6A92D}" name="Table5" displayName="Table5" ref="J10:K16" totalsRowShown="0">
  <autoFilter ref="J10:K16" xr:uid="{DF348AA7-24BC-AD40-95CA-3ABB23A6A92D}"/>
  <tableColumns count="2">
    <tableColumn id="1" xr3:uid="{EE1F2306-4101-564E-A7B2-2ADB5743DA00}" name="PercentileFunction"/>
    <tableColumn id="2" xr3:uid="{9345E067-A447-474C-A7E3-ED7F0B414D65}" name="Array,Percentile" dataDxfId="2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23A507-14B9-4040-825B-E3C9DA9D6F7D}" name="Table2" displayName="Table2" ref="A1:P419" totalsRowShown="0" headerRowDxfId="22" dataDxfId="21">
  <autoFilter ref="A1:P419" xr:uid="{C423A507-14B9-4040-825B-E3C9DA9D6F7D}"/>
  <tableColumns count="16">
    <tableColumn id="1" xr3:uid="{F6B419AA-8E1C-DE4C-8032-28795C5D8805}" name="record_id" dataDxfId="20"/>
    <tableColumn id="2" xr3:uid="{9386DEB1-C1C5-104A-937F-E40DC9411A1D}" name="country" dataDxfId="19"/>
    <tableColumn id="3" xr3:uid="{72581B34-256C-6A46-B4A6-DDE39F754ED8}" name="region" dataDxfId="18"/>
    <tableColumn id="4" xr3:uid="{763FF9C6-5B3D-5345-9923-8C0A43DA2336}" name="ev_brand" dataDxfId="17"/>
    <tableColumn id="5" xr3:uid="{A19DD24E-F2A5-134B-AA1A-841B3A138D6A}" name="vehicle_type" dataDxfId="16"/>
    <tableColumn id="6" xr3:uid="{40E01E24-CFE7-1D4C-ACE0-BBECA47D5359}" name="ev_sales_units" dataDxfId="15"/>
    <tableColumn id="7" xr3:uid="{9220EAC7-64B5-0A48-995A-7FCB51D9018F}" name="battery_capacity_kwh" dataDxfId="14"/>
    <tableColumn id="8" xr3:uid="{DBC4751D-DB0F-3544-97F8-45326CB57E78}" name="vehicle_range_km" dataDxfId="13"/>
    <tableColumn id="9" xr3:uid="{5996C551-C748-8D45-BB3D-0A0059B3D842}" name="charging_time_hours" dataDxfId="12"/>
    <tableColumn id="10" xr3:uid="{72B80493-9230-2643-AF13-22B0EC905D5F}" name="charging_stations" dataDxfId="11"/>
    <tableColumn id="11" xr3:uid="{16902F1B-AC6D-4748-8630-70D896C6DE1D}" name="avg_ev_price_usd" dataDxfId="10"/>
    <tableColumn id="12" xr3:uid="{32D26617-B3CA-6C42-91B0-EE5994CA02D1}" name="energy_consumption_kwh" dataDxfId="9"/>
    <tableColumn id="13" xr3:uid="{689EEDD0-F66F-FC4C-8D55-07814FD202BF}" name="govt_incentives" dataDxfId="8"/>
    <tableColumn id="14" xr3:uid="{A39CB04B-A759-A440-A007-E0E27335070C}" name="market_adoption_rate" dataDxfId="7"/>
    <tableColumn id="15" xr3:uid="{CB5765A9-E221-A347-B1C8-868511A2F9F0}" name="co2_reduction_mt" dataDxfId="6"/>
    <tableColumn id="16" xr3:uid="{CDDF72B0-49C7-8447-8B23-1EF5FD00B4F3}" name="year" dataDxfId="5"/>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pa.gov/greenvehicles/electric-vehicle-myths" TargetMode="External"/><Relationship Id="rId2" Type="http://schemas.openxmlformats.org/officeDocument/2006/relationships/hyperlink" Target="https://www.bea.gov/sites/default/files/2026-04/hist4q25-3rd.pdf" TargetMode="External"/><Relationship Id="rId1" Type="http://schemas.openxmlformats.org/officeDocument/2006/relationships/pivotTable" Target="../pivotTables/pivotTable1.xm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D579A-EEDA-C944-ABE2-2DF28832527F}">
  <dimension ref="A1:L421"/>
  <sheetViews>
    <sheetView tabSelected="1" zoomScaleNormal="150" zoomScaleSheetLayoutView="100" workbookViewId="0">
      <selection activeCell="I64" sqref="I64"/>
    </sheetView>
  </sheetViews>
  <sheetFormatPr defaultRowHeight="15" x14ac:dyDescent="0.2"/>
  <cols>
    <col min="1" max="1" width="16.94921875" bestFit="1" customWidth="1"/>
    <col min="2" max="2" width="18.96484375" bestFit="1" customWidth="1"/>
    <col min="3" max="3" width="11.1640625" bestFit="1" customWidth="1"/>
    <col min="4" max="4" width="18.96484375" style="3" bestFit="1" customWidth="1"/>
    <col min="5" max="5" width="13.31640625" customWidth="1"/>
    <col min="6" max="6" width="8.875" customWidth="1"/>
    <col min="7" max="7" width="11.296875" customWidth="1"/>
    <col min="8" max="8" width="19.90625" customWidth="1"/>
    <col min="9" max="9" width="45.0625" customWidth="1"/>
    <col min="10" max="10" width="17.75390625" customWidth="1"/>
    <col min="11" max="11" width="21.38671875" customWidth="1"/>
    <col min="12" max="12" width="46.6796875" customWidth="1"/>
  </cols>
  <sheetData>
    <row r="1" spans="1:12" x14ac:dyDescent="0.2">
      <c r="G1" t="s">
        <v>473</v>
      </c>
    </row>
    <row r="2" spans="1:12" x14ac:dyDescent="0.2">
      <c r="A2" s="2" t="s">
        <v>0</v>
      </c>
      <c r="B2" s="2" t="s">
        <v>2</v>
      </c>
      <c r="C2" s="2" t="s">
        <v>4</v>
      </c>
      <c r="D2" s="3" t="s">
        <v>465</v>
      </c>
      <c r="H2" s="31" t="s">
        <v>469</v>
      </c>
      <c r="I2" s="31"/>
      <c r="J2" s="31"/>
      <c r="K2" s="31"/>
      <c r="L2" s="31"/>
    </row>
    <row r="3" spans="1:12" x14ac:dyDescent="0.2">
      <c r="A3" t="s">
        <v>16</v>
      </c>
      <c r="B3" t="s">
        <v>18</v>
      </c>
      <c r="C3" t="s">
        <v>20</v>
      </c>
      <c r="D3" s="3">
        <v>459155</v>
      </c>
      <c r="H3" s="4" t="s">
        <v>470</v>
      </c>
      <c r="I3" s="4" t="s">
        <v>20</v>
      </c>
      <c r="J3" s="4" t="s">
        <v>26</v>
      </c>
      <c r="K3" s="4" t="s">
        <v>468</v>
      </c>
      <c r="L3" s="4" t="s">
        <v>38</v>
      </c>
    </row>
    <row r="4" spans="1:12" x14ac:dyDescent="0.2">
      <c r="A4" t="s">
        <v>22</v>
      </c>
      <c r="B4" t="s">
        <v>24</v>
      </c>
      <c r="C4" t="s">
        <v>26</v>
      </c>
      <c r="D4" s="3">
        <v>722074</v>
      </c>
      <c r="H4" s="4" t="s">
        <v>18</v>
      </c>
      <c r="I4" s="5">
        <f>SUMIFS(D2:D420,B2:B420,B3,C2:C420,C3)</f>
        <v>19028757</v>
      </c>
      <c r="J4" s="3">
        <f>SUMIFS(D3:D420,B3:B420,B3,C3:C420,C4)</f>
        <v>17063186</v>
      </c>
      <c r="K4" s="5">
        <f t="shared" ref="K4:K7" si="0">SUMIFS(D3:D420,B3:B420,B3,C3:C420,C7)</f>
        <v>11550040</v>
      </c>
      <c r="L4" s="5">
        <f t="shared" ref="L4:L7" si="1">SUMIFS(D3:D420,B3:B420,B3,C3:C420,C8)</f>
        <v>14630791</v>
      </c>
    </row>
    <row r="5" spans="1:12" x14ac:dyDescent="0.2">
      <c r="A5" t="s">
        <v>27</v>
      </c>
      <c r="B5" t="s">
        <v>29</v>
      </c>
      <c r="C5" t="s">
        <v>20</v>
      </c>
      <c r="D5" s="3">
        <v>241638</v>
      </c>
      <c r="H5" s="4" t="s">
        <v>24</v>
      </c>
      <c r="I5" s="5">
        <f>SUMIFS(D2:D420,B2:B420,B4,C2:C420,C3)</f>
        <v>7782916</v>
      </c>
      <c r="J5" s="5">
        <f>SUMIFS(D4:D421,B4:B421,B4,C4:C421,C4)</f>
        <v>10912139</v>
      </c>
      <c r="K5" s="5">
        <f>SUMIFS(D4:D421,B4:B421,B4,C4:C421,C7)</f>
        <v>7363487</v>
      </c>
      <c r="L5" s="5">
        <f>SUMIFS(D4:D421,B4:B421,B4,C4:C421,C8)</f>
        <v>13418825</v>
      </c>
    </row>
    <row r="6" spans="1:12" x14ac:dyDescent="0.2">
      <c r="A6" t="s">
        <v>31</v>
      </c>
      <c r="B6" t="s">
        <v>18</v>
      </c>
      <c r="C6" t="s">
        <v>26</v>
      </c>
      <c r="D6" s="3">
        <v>681021</v>
      </c>
      <c r="H6" s="4" t="s">
        <v>29</v>
      </c>
      <c r="I6" s="5">
        <f>SUMIFS(D3:D421,B3:B421,B5,C3:C421,C3)</f>
        <v>5558676</v>
      </c>
      <c r="J6" s="5">
        <f>SUMIFS(D5:D422,B5:B422,B5,C5:C422,C4)</f>
        <v>5714533</v>
      </c>
      <c r="K6" s="5">
        <f>SUMIFS(D5:D422,B5:B422,B5,C5:C422,C7)</f>
        <v>2916718</v>
      </c>
      <c r="L6" s="5">
        <f>SUMIFS(D5:D422,B5:B422,B5,C5:C422,C8)</f>
        <v>5790833</v>
      </c>
    </row>
    <row r="7" spans="1:12" x14ac:dyDescent="0.2">
      <c r="A7" t="s">
        <v>33</v>
      </c>
      <c r="B7" t="s">
        <v>24</v>
      </c>
      <c r="C7" t="s">
        <v>34</v>
      </c>
      <c r="D7" s="3">
        <v>714686</v>
      </c>
      <c r="H7" s="4" t="s">
        <v>41</v>
      </c>
      <c r="I7" s="5">
        <f>SUMIFS(D4:D422,B4:B422,B9,C4:C422,C3)</f>
        <v>12779168</v>
      </c>
      <c r="J7" s="5">
        <f>SUMIFS(D6:D423,B6:B423,B9,C6:C423,C4)</f>
        <v>19574748</v>
      </c>
      <c r="K7" s="5">
        <f>SUMIFS(D6:D423,B6:B423,B9,C6:C423,C7)</f>
        <v>21797093</v>
      </c>
      <c r="L7" s="5">
        <f>SUMIFS(D6:D423,B6:B423,B9,C6:C423,C8)</f>
        <v>12240131</v>
      </c>
    </row>
    <row r="8" spans="1:12" x14ac:dyDescent="0.2">
      <c r="A8" t="s">
        <v>36</v>
      </c>
      <c r="B8" t="s">
        <v>24</v>
      </c>
      <c r="C8" t="s">
        <v>38</v>
      </c>
      <c r="D8" s="3">
        <v>544980</v>
      </c>
      <c r="H8" s="4" t="s">
        <v>474</v>
      </c>
      <c r="I8" s="5">
        <f>SUM(Table1[Bus])</f>
        <v>45149517</v>
      </c>
      <c r="J8" s="5">
        <f>SUM(Table1[Car])</f>
        <v>53264606</v>
      </c>
      <c r="K8" s="5">
        <f>SUM(Table1[Suv])</f>
        <v>43627338</v>
      </c>
      <c r="L8" s="5">
        <f>SUM(Table1[Truck])</f>
        <v>46080580</v>
      </c>
    </row>
    <row r="9" spans="1:12" x14ac:dyDescent="0.2">
      <c r="A9" t="s">
        <v>39</v>
      </c>
      <c r="B9" t="s">
        <v>41</v>
      </c>
      <c r="C9" t="s">
        <v>20</v>
      </c>
      <c r="D9" s="3">
        <v>648873</v>
      </c>
      <c r="H9" s="32"/>
      <c r="I9" s="32"/>
      <c r="J9" s="32"/>
      <c r="K9" s="32"/>
      <c r="L9" s="32"/>
    </row>
    <row r="10" spans="1:12" x14ac:dyDescent="0.2">
      <c r="A10" t="s">
        <v>42</v>
      </c>
      <c r="B10" t="s">
        <v>18</v>
      </c>
      <c r="C10" t="s">
        <v>34</v>
      </c>
      <c r="D10" s="3">
        <v>347873</v>
      </c>
      <c r="H10" s="7" t="str" cm="1">
        <f t="array" ref="H10:L14">TRANSPOSE(Table1[[#Headers],[#Data]])</f>
        <v>Region/VehicleType</v>
      </c>
      <c r="I10" s="7" t="str">
        <v>Asia</v>
      </c>
      <c r="J10" s="7" t="str">
        <v>North America</v>
      </c>
      <c r="K10" s="7" t="str">
        <v>Oceania</v>
      </c>
      <c r="L10" s="7" t="str">
        <v>Europe</v>
      </c>
    </row>
    <row r="11" spans="1:12" x14ac:dyDescent="0.2">
      <c r="A11" t="s">
        <v>45</v>
      </c>
      <c r="B11" t="s">
        <v>18</v>
      </c>
      <c r="C11" t="s">
        <v>20</v>
      </c>
      <c r="D11" s="3">
        <v>764133</v>
      </c>
      <c r="H11" s="8" t="str">
        <v>Bus</v>
      </c>
      <c r="I11" s="9">
        <v>19028757</v>
      </c>
      <c r="J11" s="9">
        <v>7782916</v>
      </c>
      <c r="K11" s="9">
        <v>5558676</v>
      </c>
      <c r="L11" s="9">
        <v>12779168</v>
      </c>
    </row>
    <row r="12" spans="1:12" x14ac:dyDescent="0.2">
      <c r="A12" t="s">
        <v>47</v>
      </c>
      <c r="B12" t="s">
        <v>18</v>
      </c>
      <c r="C12" t="s">
        <v>20</v>
      </c>
      <c r="D12" s="3">
        <v>666056</v>
      </c>
      <c r="H12" t="str">
        <v>Car</v>
      </c>
      <c r="I12" s="3">
        <v>17063186</v>
      </c>
      <c r="J12" s="3">
        <v>10912139</v>
      </c>
      <c r="K12" s="3">
        <v>5714533</v>
      </c>
      <c r="L12" s="3">
        <v>19574748</v>
      </c>
    </row>
    <row r="13" spans="1:12" x14ac:dyDescent="0.2">
      <c r="A13" t="s">
        <v>49</v>
      </c>
      <c r="B13" t="s">
        <v>24</v>
      </c>
      <c r="C13" t="s">
        <v>34</v>
      </c>
      <c r="D13" s="3">
        <v>531173</v>
      </c>
      <c r="H13" s="8" t="str">
        <v>Suv</v>
      </c>
      <c r="I13" s="9">
        <v>11550040</v>
      </c>
      <c r="J13" s="9">
        <v>7363487</v>
      </c>
      <c r="K13" s="9">
        <v>2916718</v>
      </c>
      <c r="L13" s="9">
        <v>21797093</v>
      </c>
    </row>
    <row r="14" spans="1:12" x14ac:dyDescent="0.2">
      <c r="A14" t="s">
        <v>51</v>
      </c>
      <c r="B14" t="s">
        <v>24</v>
      </c>
      <c r="C14" t="s">
        <v>26</v>
      </c>
      <c r="D14" s="3">
        <v>29632</v>
      </c>
      <c r="H14" t="str">
        <v>Truck</v>
      </c>
      <c r="I14" s="3">
        <v>14630791</v>
      </c>
      <c r="J14" s="3">
        <v>13418825</v>
      </c>
      <c r="K14" s="3">
        <v>5790833</v>
      </c>
      <c r="L14" s="3">
        <v>12240131</v>
      </c>
    </row>
    <row r="15" spans="1:12" ht="15.75" thickBot="1" x14ac:dyDescent="0.25">
      <c r="A15" t="s">
        <v>52</v>
      </c>
      <c r="B15" t="s">
        <v>41</v>
      </c>
      <c r="C15" t="s">
        <v>34</v>
      </c>
      <c r="D15" s="3">
        <v>49610</v>
      </c>
      <c r="H15" s="10" t="s">
        <v>475</v>
      </c>
      <c r="I15" s="11">
        <f>SUM(I11:I14)</f>
        <v>62272774</v>
      </c>
      <c r="J15" s="11">
        <f t="shared" ref="J15:L15" si="2">SUM(J11:J14)</f>
        <v>39477367</v>
      </c>
      <c r="K15" s="11">
        <f t="shared" si="2"/>
        <v>19980760</v>
      </c>
      <c r="L15" s="11">
        <f t="shared" si="2"/>
        <v>66391140</v>
      </c>
    </row>
    <row r="16" spans="1:12" x14ac:dyDescent="0.2">
      <c r="A16" t="s">
        <v>54</v>
      </c>
      <c r="B16" t="s">
        <v>29</v>
      </c>
      <c r="C16" t="s">
        <v>20</v>
      </c>
      <c r="D16" s="3">
        <v>465357</v>
      </c>
      <c r="H16" s="6" t="s">
        <v>471</v>
      </c>
      <c r="I16" s="6" t="s">
        <v>472</v>
      </c>
      <c r="J16" t="s">
        <v>476</v>
      </c>
      <c r="K16" s="3">
        <f>MAX(Table1[[Bus]:[Truck]])</f>
        <v>21797093</v>
      </c>
    </row>
    <row r="17" spans="1:12" x14ac:dyDescent="0.2">
      <c r="A17" t="s">
        <v>55</v>
      </c>
      <c r="B17" t="s">
        <v>41</v>
      </c>
      <c r="C17" t="s">
        <v>38</v>
      </c>
      <c r="D17" s="3">
        <v>571320</v>
      </c>
      <c r="H17" t="s">
        <v>18</v>
      </c>
      <c r="I17">
        <v>133</v>
      </c>
      <c r="J17" t="s">
        <v>477</v>
      </c>
      <c r="K17" s="3">
        <f>MIN(Table1[[Bus]:[Truck]])</f>
        <v>2916718</v>
      </c>
    </row>
    <row r="18" spans="1:12" x14ac:dyDescent="0.2">
      <c r="A18" t="s">
        <v>57</v>
      </c>
      <c r="B18" t="s">
        <v>18</v>
      </c>
      <c r="C18" t="s">
        <v>38</v>
      </c>
      <c r="D18" s="3">
        <v>652396</v>
      </c>
      <c r="H18" t="s">
        <v>24</v>
      </c>
      <c r="I18">
        <v>82</v>
      </c>
    </row>
    <row r="19" spans="1:12" x14ac:dyDescent="0.2">
      <c r="A19" t="s">
        <v>58</v>
      </c>
      <c r="B19" t="s">
        <v>18</v>
      </c>
      <c r="C19" t="s">
        <v>38</v>
      </c>
      <c r="D19" s="3">
        <v>351592</v>
      </c>
      <c r="H19" t="s">
        <v>29</v>
      </c>
      <c r="I19">
        <v>49</v>
      </c>
      <c r="L19" s="5"/>
    </row>
    <row r="20" spans="1:12" x14ac:dyDescent="0.2">
      <c r="A20" t="s">
        <v>60</v>
      </c>
      <c r="B20" t="s">
        <v>18</v>
      </c>
      <c r="C20" t="s">
        <v>38</v>
      </c>
      <c r="D20" s="3">
        <v>741962</v>
      </c>
      <c r="H20" t="s">
        <v>41</v>
      </c>
      <c r="I20">
        <v>154</v>
      </c>
      <c r="J20" s="5"/>
      <c r="K20" s="5"/>
      <c r="L20" s="5"/>
    </row>
    <row r="21" spans="1:12" x14ac:dyDescent="0.2">
      <c r="A21" t="s">
        <v>61</v>
      </c>
      <c r="B21" t="s">
        <v>41</v>
      </c>
      <c r="C21" t="s">
        <v>26</v>
      </c>
      <c r="D21" s="3">
        <v>699943</v>
      </c>
      <c r="H21" t="s">
        <v>519</v>
      </c>
    </row>
    <row r="22" spans="1:12" x14ac:dyDescent="0.2">
      <c r="A22" t="s">
        <v>63</v>
      </c>
      <c r="B22" t="s">
        <v>18</v>
      </c>
      <c r="C22" t="s">
        <v>34</v>
      </c>
      <c r="D22" s="3">
        <v>307917</v>
      </c>
    </row>
    <row r="23" spans="1:12" x14ac:dyDescent="0.2">
      <c r="A23" t="s">
        <v>64</v>
      </c>
      <c r="B23" t="s">
        <v>41</v>
      </c>
      <c r="C23" t="s">
        <v>20</v>
      </c>
      <c r="D23" s="3">
        <v>151263</v>
      </c>
    </row>
    <row r="24" spans="1:12" x14ac:dyDescent="0.2">
      <c r="A24" t="s">
        <v>65</v>
      </c>
      <c r="B24" t="s">
        <v>41</v>
      </c>
      <c r="C24" t="s">
        <v>34</v>
      </c>
      <c r="D24" s="3">
        <v>75402</v>
      </c>
    </row>
    <row r="25" spans="1:12" x14ac:dyDescent="0.2">
      <c r="A25" t="s">
        <v>66</v>
      </c>
      <c r="B25" t="s">
        <v>18</v>
      </c>
      <c r="C25" t="s">
        <v>26</v>
      </c>
      <c r="D25" s="3">
        <v>530526</v>
      </c>
    </row>
    <row r="26" spans="1:12" x14ac:dyDescent="0.2">
      <c r="A26" t="s">
        <v>68</v>
      </c>
      <c r="B26" t="s">
        <v>41</v>
      </c>
      <c r="C26" t="s">
        <v>38</v>
      </c>
      <c r="D26" s="3">
        <v>668699</v>
      </c>
    </row>
    <row r="27" spans="1:12" x14ac:dyDescent="0.2">
      <c r="A27" t="s">
        <v>69</v>
      </c>
      <c r="B27" t="s">
        <v>24</v>
      </c>
      <c r="C27" t="s">
        <v>34</v>
      </c>
      <c r="D27" s="3">
        <v>82661</v>
      </c>
    </row>
    <row r="28" spans="1:12" x14ac:dyDescent="0.2">
      <c r="A28" t="s">
        <v>70</v>
      </c>
      <c r="B28" t="s">
        <v>18</v>
      </c>
      <c r="C28" t="s">
        <v>38</v>
      </c>
      <c r="D28" s="3">
        <v>443610</v>
      </c>
    </row>
    <row r="29" spans="1:12" x14ac:dyDescent="0.2">
      <c r="A29" t="s">
        <v>71</v>
      </c>
      <c r="B29" t="s">
        <v>18</v>
      </c>
      <c r="C29" t="s">
        <v>26</v>
      </c>
      <c r="D29" s="3">
        <v>847684</v>
      </c>
    </row>
    <row r="30" spans="1:12" x14ac:dyDescent="0.2">
      <c r="A30" t="s">
        <v>72</v>
      </c>
      <c r="B30" t="s">
        <v>41</v>
      </c>
      <c r="C30" t="s">
        <v>26</v>
      </c>
      <c r="D30" s="3">
        <v>567517</v>
      </c>
    </row>
    <row r="31" spans="1:12" x14ac:dyDescent="0.2">
      <c r="A31" t="s">
        <v>74</v>
      </c>
      <c r="B31" t="s">
        <v>29</v>
      </c>
      <c r="C31" t="s">
        <v>20</v>
      </c>
      <c r="D31" s="3">
        <v>593098</v>
      </c>
    </row>
    <row r="32" spans="1:12" x14ac:dyDescent="0.2">
      <c r="A32" t="s">
        <v>75</v>
      </c>
      <c r="B32" t="s">
        <v>18</v>
      </c>
      <c r="C32" t="s">
        <v>34</v>
      </c>
      <c r="D32" s="3">
        <v>395710</v>
      </c>
    </row>
    <row r="33" spans="1:12" x14ac:dyDescent="0.2">
      <c r="A33" t="s">
        <v>76</v>
      </c>
      <c r="B33" t="s">
        <v>18</v>
      </c>
      <c r="C33" t="s">
        <v>26</v>
      </c>
      <c r="D33" s="3">
        <v>771933</v>
      </c>
    </row>
    <row r="34" spans="1:12" x14ac:dyDescent="0.2">
      <c r="A34" t="s">
        <v>77</v>
      </c>
      <c r="B34" t="s">
        <v>41</v>
      </c>
      <c r="C34" t="s">
        <v>34</v>
      </c>
      <c r="D34" s="3">
        <v>588978</v>
      </c>
    </row>
    <row r="35" spans="1:12" x14ac:dyDescent="0.2">
      <c r="A35" t="s">
        <v>78</v>
      </c>
      <c r="B35" t="s">
        <v>41</v>
      </c>
      <c r="C35" t="s">
        <v>26</v>
      </c>
      <c r="D35" s="3">
        <v>395117</v>
      </c>
    </row>
    <row r="36" spans="1:12" x14ac:dyDescent="0.2">
      <c r="A36" t="s">
        <v>79</v>
      </c>
      <c r="B36" t="s">
        <v>41</v>
      </c>
      <c r="C36" t="s">
        <v>38</v>
      </c>
      <c r="D36" s="3">
        <v>793142</v>
      </c>
    </row>
    <row r="37" spans="1:12" x14ac:dyDescent="0.2">
      <c r="A37" t="s">
        <v>80</v>
      </c>
      <c r="B37" t="s">
        <v>41</v>
      </c>
      <c r="C37" t="s">
        <v>34</v>
      </c>
      <c r="D37" s="3">
        <v>580855</v>
      </c>
    </row>
    <row r="38" spans="1:12" x14ac:dyDescent="0.2">
      <c r="A38" t="s">
        <v>81</v>
      </c>
      <c r="B38" t="s">
        <v>24</v>
      </c>
      <c r="C38" t="s">
        <v>38</v>
      </c>
      <c r="D38" s="3">
        <v>773922</v>
      </c>
    </row>
    <row r="39" spans="1:12" x14ac:dyDescent="0.2">
      <c r="A39" t="s">
        <v>82</v>
      </c>
      <c r="B39" t="s">
        <v>24</v>
      </c>
      <c r="C39" t="s">
        <v>38</v>
      </c>
      <c r="D39" s="3">
        <v>514877</v>
      </c>
    </row>
    <row r="40" spans="1:12" x14ac:dyDescent="0.2">
      <c r="A40" t="s">
        <v>83</v>
      </c>
      <c r="B40" t="s">
        <v>41</v>
      </c>
      <c r="C40" t="s">
        <v>20</v>
      </c>
      <c r="D40" s="3">
        <v>286182</v>
      </c>
    </row>
    <row r="41" spans="1:12" x14ac:dyDescent="0.2">
      <c r="A41" t="s">
        <v>84</v>
      </c>
      <c r="B41" t="s">
        <v>29</v>
      </c>
      <c r="C41" t="s">
        <v>20</v>
      </c>
      <c r="D41" s="3">
        <v>286708</v>
      </c>
    </row>
    <row r="42" spans="1:12" x14ac:dyDescent="0.2">
      <c r="A42" t="s">
        <v>85</v>
      </c>
      <c r="B42" t="s">
        <v>41</v>
      </c>
      <c r="C42" t="s">
        <v>38</v>
      </c>
      <c r="D42" s="3">
        <v>70354</v>
      </c>
    </row>
    <row r="43" spans="1:12" x14ac:dyDescent="0.2">
      <c r="A43" t="s">
        <v>86</v>
      </c>
      <c r="B43" t="s">
        <v>41</v>
      </c>
      <c r="C43" t="s">
        <v>34</v>
      </c>
      <c r="D43" s="3">
        <v>350824</v>
      </c>
    </row>
    <row r="44" spans="1:12" x14ac:dyDescent="0.2">
      <c r="A44" t="s">
        <v>87</v>
      </c>
      <c r="B44" t="s">
        <v>41</v>
      </c>
      <c r="C44" t="s">
        <v>38</v>
      </c>
      <c r="D44" s="3">
        <v>847155</v>
      </c>
    </row>
    <row r="45" spans="1:12" ht="200.25" customHeight="1" thickBot="1" x14ac:dyDescent="0.3">
      <c r="A45" t="s">
        <v>88</v>
      </c>
      <c r="B45" t="s">
        <v>29</v>
      </c>
      <c r="C45" t="s">
        <v>34</v>
      </c>
      <c r="D45" s="3">
        <v>21380</v>
      </c>
      <c r="H45" s="18" t="s">
        <v>508</v>
      </c>
      <c r="I45" s="19" t="s">
        <v>507</v>
      </c>
      <c r="J45" s="19" t="s">
        <v>513</v>
      </c>
      <c r="K45" s="12" t="s">
        <v>509</v>
      </c>
      <c r="L45" s="17" t="s">
        <v>514</v>
      </c>
    </row>
    <row r="46" spans="1:12" ht="45" x14ac:dyDescent="0.25">
      <c r="A46" t="s">
        <v>89</v>
      </c>
      <c r="B46" t="s">
        <v>29</v>
      </c>
      <c r="C46" t="s">
        <v>38</v>
      </c>
      <c r="D46" s="3">
        <v>688173</v>
      </c>
      <c r="H46" s="33" t="s">
        <v>517</v>
      </c>
      <c r="I46" s="34"/>
      <c r="J46" s="35"/>
      <c r="L46" s="17" t="s">
        <v>520</v>
      </c>
    </row>
    <row r="47" spans="1:12" ht="103.5" x14ac:dyDescent="0.25">
      <c r="A47" t="s">
        <v>90</v>
      </c>
      <c r="B47" t="s">
        <v>41</v>
      </c>
      <c r="C47" t="s">
        <v>34</v>
      </c>
      <c r="D47" s="3">
        <v>664493</v>
      </c>
      <c r="H47" s="23" t="s">
        <v>510</v>
      </c>
      <c r="I47" s="21" t="s">
        <v>511</v>
      </c>
      <c r="J47" s="24" t="s">
        <v>512</v>
      </c>
      <c r="L47" s="17" t="s">
        <v>521</v>
      </c>
    </row>
    <row r="48" spans="1:12" ht="27.75" x14ac:dyDescent="0.2">
      <c r="A48" t="s">
        <v>91</v>
      </c>
      <c r="B48" t="s">
        <v>24</v>
      </c>
      <c r="C48" t="s">
        <v>38</v>
      </c>
      <c r="D48" s="3">
        <v>876218</v>
      </c>
      <c r="H48" s="25" t="s">
        <v>503</v>
      </c>
      <c r="I48" s="22" t="s">
        <v>512</v>
      </c>
      <c r="J48" s="26" t="s">
        <v>512</v>
      </c>
    </row>
    <row r="49" spans="1:12" x14ac:dyDescent="0.2">
      <c r="A49" t="s">
        <v>92</v>
      </c>
      <c r="B49" t="s">
        <v>24</v>
      </c>
      <c r="C49" t="s">
        <v>26</v>
      </c>
      <c r="D49" s="3">
        <v>622503</v>
      </c>
      <c r="H49" s="23" t="s">
        <v>504</v>
      </c>
      <c r="I49" s="22" t="s">
        <v>512</v>
      </c>
      <c r="J49" s="26" t="s">
        <v>512</v>
      </c>
    </row>
    <row r="50" spans="1:12" ht="32.25" customHeight="1" x14ac:dyDescent="0.25">
      <c r="A50" t="s">
        <v>93</v>
      </c>
      <c r="B50" t="s">
        <v>18</v>
      </c>
      <c r="C50" t="s">
        <v>38</v>
      </c>
      <c r="D50" s="3">
        <v>96400</v>
      </c>
      <c r="H50" s="36" t="s">
        <v>518</v>
      </c>
      <c r="I50" s="37"/>
      <c r="J50" s="38"/>
      <c r="K50" s="20" t="s">
        <v>522</v>
      </c>
      <c r="L50" s="30" t="s">
        <v>523</v>
      </c>
    </row>
    <row r="51" spans="1:12" ht="27.75" x14ac:dyDescent="0.2">
      <c r="A51" t="s">
        <v>94</v>
      </c>
      <c r="B51" t="s">
        <v>24</v>
      </c>
      <c r="C51" t="s">
        <v>38</v>
      </c>
      <c r="D51" s="3">
        <v>194579</v>
      </c>
      <c r="H51" s="25" t="s">
        <v>505</v>
      </c>
      <c r="I51" s="22" t="s">
        <v>512</v>
      </c>
      <c r="J51" s="26" t="s">
        <v>512</v>
      </c>
      <c r="L51" s="30" t="s">
        <v>524</v>
      </c>
    </row>
    <row r="52" spans="1:12" ht="28.5" thickBot="1" x14ac:dyDescent="0.25">
      <c r="A52" t="s">
        <v>95</v>
      </c>
      <c r="B52" t="s">
        <v>18</v>
      </c>
      <c r="C52" t="s">
        <v>38</v>
      </c>
      <c r="D52" s="3">
        <v>42529</v>
      </c>
      <c r="H52" s="27" t="s">
        <v>506</v>
      </c>
      <c r="I52" s="28" t="s">
        <v>512</v>
      </c>
      <c r="J52" s="29" t="s">
        <v>512</v>
      </c>
    </row>
    <row r="53" spans="1:12" x14ac:dyDescent="0.2">
      <c r="A53" t="s">
        <v>96</v>
      </c>
      <c r="B53" t="s">
        <v>24</v>
      </c>
      <c r="C53" t="s">
        <v>20</v>
      </c>
      <c r="D53" s="3">
        <v>647861</v>
      </c>
    </row>
    <row r="54" spans="1:12" x14ac:dyDescent="0.2">
      <c r="A54" t="s">
        <v>97</v>
      </c>
      <c r="B54" t="s">
        <v>18</v>
      </c>
      <c r="C54" t="s">
        <v>38</v>
      </c>
      <c r="D54" s="3">
        <v>479628</v>
      </c>
    </row>
    <row r="55" spans="1:12" x14ac:dyDescent="0.2">
      <c r="A55" t="s">
        <v>98</v>
      </c>
      <c r="B55" t="s">
        <v>18</v>
      </c>
      <c r="C55" t="s">
        <v>20</v>
      </c>
      <c r="D55" s="3">
        <v>400267</v>
      </c>
    </row>
    <row r="56" spans="1:12" ht="28.5" customHeight="1" x14ac:dyDescent="0.2">
      <c r="A56" t="s">
        <v>99</v>
      </c>
      <c r="B56" t="s">
        <v>41</v>
      </c>
      <c r="C56" t="s">
        <v>38</v>
      </c>
      <c r="D56" s="3">
        <v>76911</v>
      </c>
      <c r="I56" s="15"/>
    </row>
    <row r="57" spans="1:12" x14ac:dyDescent="0.2">
      <c r="A57" t="s">
        <v>100</v>
      </c>
      <c r="B57" t="s">
        <v>41</v>
      </c>
      <c r="C57" t="s">
        <v>38</v>
      </c>
      <c r="D57" s="3">
        <v>659302</v>
      </c>
    </row>
    <row r="58" spans="1:12" x14ac:dyDescent="0.2">
      <c r="A58" t="s">
        <v>101</v>
      </c>
      <c r="B58" t="s">
        <v>41</v>
      </c>
      <c r="C58" t="s">
        <v>26</v>
      </c>
      <c r="D58" s="3">
        <v>480452</v>
      </c>
    </row>
    <row r="59" spans="1:12" x14ac:dyDescent="0.2">
      <c r="A59" t="s">
        <v>102</v>
      </c>
      <c r="B59" t="s">
        <v>41</v>
      </c>
      <c r="C59" t="s">
        <v>38</v>
      </c>
      <c r="D59" s="3">
        <v>872037</v>
      </c>
    </row>
    <row r="60" spans="1:12" x14ac:dyDescent="0.2">
      <c r="A60" t="s">
        <v>103</v>
      </c>
      <c r="B60" t="s">
        <v>18</v>
      </c>
      <c r="C60" t="s">
        <v>38</v>
      </c>
      <c r="D60" s="3">
        <v>346781</v>
      </c>
    </row>
    <row r="61" spans="1:12" x14ac:dyDescent="0.2">
      <c r="A61" t="s">
        <v>104</v>
      </c>
      <c r="B61" t="s">
        <v>18</v>
      </c>
      <c r="C61" t="s">
        <v>26</v>
      </c>
      <c r="D61" s="3">
        <v>511635</v>
      </c>
    </row>
    <row r="62" spans="1:12" x14ac:dyDescent="0.2">
      <c r="A62" t="s">
        <v>105</v>
      </c>
      <c r="B62" t="s">
        <v>24</v>
      </c>
      <c r="C62" t="s">
        <v>38</v>
      </c>
      <c r="D62" s="3">
        <v>523006</v>
      </c>
    </row>
    <row r="63" spans="1:12" x14ac:dyDescent="0.2">
      <c r="A63" t="s">
        <v>106</v>
      </c>
      <c r="B63" t="s">
        <v>41</v>
      </c>
      <c r="C63" t="s">
        <v>38</v>
      </c>
      <c r="D63" s="3">
        <v>222241</v>
      </c>
    </row>
    <row r="64" spans="1:12" x14ac:dyDescent="0.2">
      <c r="A64" t="s">
        <v>107</v>
      </c>
      <c r="B64" t="s">
        <v>24</v>
      </c>
      <c r="C64" t="s">
        <v>26</v>
      </c>
      <c r="D64" s="3">
        <v>690944</v>
      </c>
    </row>
    <row r="65" spans="1:9" x14ac:dyDescent="0.2">
      <c r="A65" t="s">
        <v>108</v>
      </c>
      <c r="B65" t="s">
        <v>24</v>
      </c>
      <c r="C65" t="s">
        <v>38</v>
      </c>
      <c r="D65" s="3">
        <v>748100</v>
      </c>
    </row>
    <row r="66" spans="1:9" x14ac:dyDescent="0.2">
      <c r="A66" t="s">
        <v>109</v>
      </c>
      <c r="B66" t="s">
        <v>18</v>
      </c>
      <c r="C66" t="s">
        <v>34</v>
      </c>
      <c r="D66" s="3">
        <v>537297</v>
      </c>
    </row>
    <row r="67" spans="1:9" x14ac:dyDescent="0.2">
      <c r="A67" t="s">
        <v>110</v>
      </c>
      <c r="B67" t="s">
        <v>24</v>
      </c>
      <c r="C67" t="s">
        <v>34</v>
      </c>
      <c r="D67" s="3">
        <v>59534</v>
      </c>
    </row>
    <row r="68" spans="1:9" x14ac:dyDescent="0.2">
      <c r="A68" t="s">
        <v>111</v>
      </c>
      <c r="B68" t="s">
        <v>41</v>
      </c>
      <c r="C68" t="s">
        <v>20</v>
      </c>
      <c r="D68" s="3">
        <v>266038</v>
      </c>
    </row>
    <row r="69" spans="1:9" x14ac:dyDescent="0.2">
      <c r="A69" t="s">
        <v>112</v>
      </c>
      <c r="B69" t="s">
        <v>29</v>
      </c>
      <c r="C69" t="s">
        <v>38</v>
      </c>
      <c r="D69" s="3">
        <v>780017</v>
      </c>
    </row>
    <row r="70" spans="1:9" x14ac:dyDescent="0.2">
      <c r="A70" t="s">
        <v>113</v>
      </c>
      <c r="B70" t="s">
        <v>41</v>
      </c>
      <c r="C70" t="s">
        <v>26</v>
      </c>
      <c r="D70" s="3">
        <v>497519</v>
      </c>
    </row>
    <row r="71" spans="1:9" x14ac:dyDescent="0.2">
      <c r="A71" t="s">
        <v>114</v>
      </c>
      <c r="B71" t="s">
        <v>24</v>
      </c>
      <c r="C71" t="s">
        <v>34</v>
      </c>
      <c r="D71" s="3">
        <v>692796</v>
      </c>
    </row>
    <row r="72" spans="1:9" x14ac:dyDescent="0.2">
      <c r="A72" t="s">
        <v>115</v>
      </c>
      <c r="B72" t="s">
        <v>29</v>
      </c>
      <c r="C72" t="s">
        <v>20</v>
      </c>
      <c r="D72" s="3">
        <v>458649</v>
      </c>
    </row>
    <row r="73" spans="1:9" x14ac:dyDescent="0.2">
      <c r="A73" t="s">
        <v>116</v>
      </c>
      <c r="B73" t="s">
        <v>29</v>
      </c>
      <c r="C73" t="s">
        <v>26</v>
      </c>
      <c r="D73" s="3">
        <v>317687</v>
      </c>
    </row>
    <row r="74" spans="1:9" x14ac:dyDescent="0.2">
      <c r="A74" t="s">
        <v>117</v>
      </c>
      <c r="B74" t="s">
        <v>41</v>
      </c>
      <c r="C74" t="s">
        <v>34</v>
      </c>
      <c r="D74" s="3">
        <v>705487</v>
      </c>
    </row>
    <row r="75" spans="1:9" x14ac:dyDescent="0.2">
      <c r="A75" t="s">
        <v>118</v>
      </c>
      <c r="B75" t="s">
        <v>41</v>
      </c>
      <c r="C75" t="s">
        <v>26</v>
      </c>
      <c r="D75" s="3">
        <v>48320</v>
      </c>
    </row>
    <row r="76" spans="1:9" x14ac:dyDescent="0.2">
      <c r="A76" t="s">
        <v>119</v>
      </c>
      <c r="B76" t="s">
        <v>18</v>
      </c>
      <c r="C76" t="s">
        <v>20</v>
      </c>
      <c r="D76" s="3">
        <v>671917</v>
      </c>
    </row>
    <row r="77" spans="1:9" x14ac:dyDescent="0.2">
      <c r="A77" t="s">
        <v>120</v>
      </c>
      <c r="B77" t="s">
        <v>24</v>
      </c>
      <c r="C77" t="s">
        <v>38</v>
      </c>
      <c r="D77" s="3">
        <v>242497</v>
      </c>
    </row>
    <row r="78" spans="1:9" x14ac:dyDescent="0.2">
      <c r="A78" t="s">
        <v>121</v>
      </c>
      <c r="B78" t="s">
        <v>41</v>
      </c>
      <c r="C78" t="s">
        <v>34</v>
      </c>
      <c r="D78" s="3">
        <v>238012</v>
      </c>
      <c r="I78" s="3"/>
    </row>
    <row r="79" spans="1:9" x14ac:dyDescent="0.2">
      <c r="A79" t="s">
        <v>122</v>
      </c>
      <c r="B79" t="s">
        <v>24</v>
      </c>
      <c r="C79" t="s">
        <v>38</v>
      </c>
      <c r="D79" s="3">
        <v>316268</v>
      </c>
      <c r="I79" s="3"/>
    </row>
    <row r="80" spans="1:9" x14ac:dyDescent="0.2">
      <c r="A80" t="s">
        <v>123</v>
      </c>
      <c r="B80" t="s">
        <v>41</v>
      </c>
      <c r="C80" t="s">
        <v>34</v>
      </c>
      <c r="D80" s="3">
        <v>348600</v>
      </c>
      <c r="I80" s="3"/>
    </row>
    <row r="81" spans="1:9" x14ac:dyDescent="0.2">
      <c r="A81" t="s">
        <v>124</v>
      </c>
      <c r="B81" t="s">
        <v>18</v>
      </c>
      <c r="C81" t="s">
        <v>34</v>
      </c>
      <c r="D81" s="3">
        <v>11516</v>
      </c>
      <c r="I81" s="3"/>
    </row>
    <row r="82" spans="1:9" x14ac:dyDescent="0.2">
      <c r="A82" t="s">
        <v>125</v>
      </c>
      <c r="B82" t="s">
        <v>24</v>
      </c>
      <c r="C82" t="s">
        <v>20</v>
      </c>
      <c r="D82" s="3">
        <v>413287</v>
      </c>
      <c r="I82" s="3"/>
    </row>
    <row r="83" spans="1:9" x14ac:dyDescent="0.2">
      <c r="A83" t="s">
        <v>126</v>
      </c>
      <c r="B83" t="s">
        <v>29</v>
      </c>
      <c r="C83" t="s">
        <v>20</v>
      </c>
      <c r="D83" s="3">
        <v>694495</v>
      </c>
      <c r="I83" s="3"/>
    </row>
    <row r="84" spans="1:9" x14ac:dyDescent="0.2">
      <c r="A84" t="s">
        <v>127</v>
      </c>
      <c r="B84" t="s">
        <v>41</v>
      </c>
      <c r="C84" t="s">
        <v>26</v>
      </c>
      <c r="D84" s="3">
        <v>539089</v>
      </c>
      <c r="I84" s="3"/>
    </row>
    <row r="85" spans="1:9" x14ac:dyDescent="0.2">
      <c r="A85" t="s">
        <v>128</v>
      </c>
      <c r="B85" t="s">
        <v>18</v>
      </c>
      <c r="C85" t="s">
        <v>26</v>
      </c>
      <c r="D85" s="3">
        <v>897307</v>
      </c>
      <c r="I85" s="3"/>
    </row>
    <row r="86" spans="1:9" x14ac:dyDescent="0.2">
      <c r="A86" t="s">
        <v>129</v>
      </c>
      <c r="B86" t="s">
        <v>41</v>
      </c>
      <c r="C86" t="s">
        <v>20</v>
      </c>
      <c r="D86" s="3">
        <v>659226</v>
      </c>
      <c r="I86" s="3"/>
    </row>
    <row r="87" spans="1:9" x14ac:dyDescent="0.2">
      <c r="A87" t="s">
        <v>130</v>
      </c>
      <c r="B87" t="s">
        <v>18</v>
      </c>
      <c r="C87" t="s">
        <v>20</v>
      </c>
      <c r="D87" s="3">
        <v>724850</v>
      </c>
      <c r="I87" s="3"/>
    </row>
    <row r="88" spans="1:9" x14ac:dyDescent="0.2">
      <c r="A88" t="s">
        <v>131</v>
      </c>
      <c r="B88" t="s">
        <v>24</v>
      </c>
      <c r="C88" t="s">
        <v>26</v>
      </c>
      <c r="D88" s="3">
        <v>846096</v>
      </c>
    </row>
    <row r="89" spans="1:9" x14ac:dyDescent="0.2">
      <c r="A89" t="s">
        <v>132</v>
      </c>
      <c r="B89" t="s">
        <v>41</v>
      </c>
      <c r="C89" t="s">
        <v>38</v>
      </c>
      <c r="D89" s="3">
        <v>616892</v>
      </c>
    </row>
    <row r="90" spans="1:9" x14ac:dyDescent="0.2">
      <c r="A90" t="s">
        <v>133</v>
      </c>
      <c r="B90" t="s">
        <v>41</v>
      </c>
      <c r="C90" t="s">
        <v>38</v>
      </c>
      <c r="D90" s="3">
        <v>376073</v>
      </c>
    </row>
    <row r="91" spans="1:9" x14ac:dyDescent="0.2">
      <c r="A91" t="s">
        <v>134</v>
      </c>
      <c r="B91" t="s">
        <v>41</v>
      </c>
      <c r="C91" t="s">
        <v>26</v>
      </c>
      <c r="D91" s="3">
        <v>426740</v>
      </c>
    </row>
    <row r="92" spans="1:9" x14ac:dyDescent="0.2">
      <c r="A92" t="s">
        <v>135</v>
      </c>
      <c r="B92" t="s">
        <v>29</v>
      </c>
      <c r="C92" t="s">
        <v>26</v>
      </c>
      <c r="D92" s="3">
        <v>363723</v>
      </c>
    </row>
    <row r="93" spans="1:9" x14ac:dyDescent="0.2">
      <c r="A93" t="s">
        <v>136</v>
      </c>
      <c r="B93" t="s">
        <v>41</v>
      </c>
      <c r="C93" t="s">
        <v>26</v>
      </c>
      <c r="D93" s="3">
        <v>756717</v>
      </c>
    </row>
    <row r="94" spans="1:9" x14ac:dyDescent="0.2">
      <c r="A94" t="s">
        <v>137</v>
      </c>
      <c r="B94" t="s">
        <v>18</v>
      </c>
      <c r="C94" t="s">
        <v>26</v>
      </c>
      <c r="D94" s="3">
        <v>712533</v>
      </c>
    </row>
    <row r="95" spans="1:9" x14ac:dyDescent="0.2">
      <c r="A95" t="s">
        <v>138</v>
      </c>
      <c r="B95" t="s">
        <v>18</v>
      </c>
      <c r="C95" t="s">
        <v>20</v>
      </c>
      <c r="D95" s="3">
        <v>783973</v>
      </c>
    </row>
    <row r="96" spans="1:9" x14ac:dyDescent="0.2">
      <c r="A96" t="s">
        <v>139</v>
      </c>
      <c r="B96" t="s">
        <v>18</v>
      </c>
      <c r="C96" t="s">
        <v>34</v>
      </c>
      <c r="D96" s="3">
        <v>111841</v>
      </c>
    </row>
    <row r="97" spans="1:4" x14ac:dyDescent="0.2">
      <c r="A97" t="s">
        <v>140</v>
      </c>
      <c r="B97" t="s">
        <v>18</v>
      </c>
      <c r="C97" t="s">
        <v>34</v>
      </c>
      <c r="D97" s="3">
        <v>863543</v>
      </c>
    </row>
    <row r="98" spans="1:4" x14ac:dyDescent="0.2">
      <c r="A98" t="s">
        <v>141</v>
      </c>
      <c r="B98" t="s">
        <v>18</v>
      </c>
      <c r="C98" t="s">
        <v>34</v>
      </c>
      <c r="D98" s="3">
        <v>276317</v>
      </c>
    </row>
    <row r="99" spans="1:4" x14ac:dyDescent="0.2">
      <c r="A99" t="s">
        <v>142</v>
      </c>
      <c r="B99" t="s">
        <v>24</v>
      </c>
      <c r="C99" t="s">
        <v>20</v>
      </c>
      <c r="D99" s="3">
        <v>516848</v>
      </c>
    </row>
    <row r="100" spans="1:4" x14ac:dyDescent="0.2">
      <c r="A100" t="s">
        <v>143</v>
      </c>
      <c r="B100" t="s">
        <v>41</v>
      </c>
      <c r="C100" t="s">
        <v>26</v>
      </c>
      <c r="D100" s="3">
        <v>74503</v>
      </c>
    </row>
    <row r="101" spans="1:4" x14ac:dyDescent="0.2">
      <c r="A101" t="s">
        <v>144</v>
      </c>
      <c r="B101" t="s">
        <v>41</v>
      </c>
      <c r="C101" t="s">
        <v>26</v>
      </c>
      <c r="D101" s="3">
        <v>62809</v>
      </c>
    </row>
    <row r="102" spans="1:4" x14ac:dyDescent="0.2">
      <c r="A102" t="s">
        <v>145</v>
      </c>
      <c r="B102" t="s">
        <v>41</v>
      </c>
      <c r="C102" t="s">
        <v>20</v>
      </c>
      <c r="D102" s="3">
        <v>161463</v>
      </c>
    </row>
    <row r="103" spans="1:4" x14ac:dyDescent="0.2">
      <c r="A103" t="s">
        <v>146</v>
      </c>
      <c r="B103" t="s">
        <v>24</v>
      </c>
      <c r="C103" t="s">
        <v>38</v>
      </c>
      <c r="D103" s="3">
        <v>653403</v>
      </c>
    </row>
    <row r="104" spans="1:4" x14ac:dyDescent="0.2">
      <c r="A104" t="s">
        <v>147</v>
      </c>
      <c r="B104" t="s">
        <v>41</v>
      </c>
      <c r="C104" t="s">
        <v>26</v>
      </c>
      <c r="D104" s="3">
        <v>353335</v>
      </c>
    </row>
    <row r="105" spans="1:4" x14ac:dyDescent="0.2">
      <c r="A105" t="s">
        <v>148</v>
      </c>
      <c r="B105" t="s">
        <v>41</v>
      </c>
      <c r="C105" t="s">
        <v>26</v>
      </c>
      <c r="D105" s="3">
        <v>766043</v>
      </c>
    </row>
    <row r="106" spans="1:4" x14ac:dyDescent="0.2">
      <c r="A106" t="s">
        <v>149</v>
      </c>
      <c r="B106" t="s">
        <v>29</v>
      </c>
      <c r="C106" t="s">
        <v>34</v>
      </c>
      <c r="D106" s="3">
        <v>83963</v>
      </c>
    </row>
    <row r="107" spans="1:4" x14ac:dyDescent="0.2">
      <c r="A107" t="s">
        <v>150</v>
      </c>
      <c r="B107" t="s">
        <v>29</v>
      </c>
      <c r="C107" t="s">
        <v>38</v>
      </c>
      <c r="D107" s="3">
        <v>807105</v>
      </c>
    </row>
    <row r="108" spans="1:4" x14ac:dyDescent="0.2">
      <c r="A108" t="s">
        <v>151</v>
      </c>
      <c r="B108" t="s">
        <v>41</v>
      </c>
      <c r="C108" t="s">
        <v>26</v>
      </c>
      <c r="D108" s="3">
        <v>376663</v>
      </c>
    </row>
    <row r="109" spans="1:4" x14ac:dyDescent="0.2">
      <c r="A109" t="s">
        <v>152</v>
      </c>
      <c r="B109" t="s">
        <v>24</v>
      </c>
      <c r="C109" t="s">
        <v>34</v>
      </c>
      <c r="D109" s="3">
        <v>205405</v>
      </c>
    </row>
    <row r="110" spans="1:4" x14ac:dyDescent="0.2">
      <c r="A110" t="s">
        <v>153</v>
      </c>
      <c r="B110" t="s">
        <v>24</v>
      </c>
      <c r="C110" t="s">
        <v>38</v>
      </c>
      <c r="D110" s="3">
        <v>370327</v>
      </c>
    </row>
    <row r="111" spans="1:4" x14ac:dyDescent="0.2">
      <c r="A111" t="s">
        <v>154</v>
      </c>
      <c r="B111" t="s">
        <v>18</v>
      </c>
      <c r="C111" t="s">
        <v>38</v>
      </c>
      <c r="D111" s="3">
        <v>210755</v>
      </c>
    </row>
    <row r="112" spans="1:4" x14ac:dyDescent="0.2">
      <c r="A112" t="s">
        <v>155</v>
      </c>
      <c r="B112" t="s">
        <v>18</v>
      </c>
      <c r="C112" t="s">
        <v>34</v>
      </c>
      <c r="D112" s="3">
        <v>845757</v>
      </c>
    </row>
    <row r="113" spans="1:4" x14ac:dyDescent="0.2">
      <c r="A113" t="s">
        <v>156</v>
      </c>
      <c r="B113" t="s">
        <v>18</v>
      </c>
      <c r="C113" t="s">
        <v>34</v>
      </c>
      <c r="D113" s="3">
        <v>341337</v>
      </c>
    </row>
    <row r="114" spans="1:4" x14ac:dyDescent="0.2">
      <c r="A114" t="s">
        <v>157</v>
      </c>
      <c r="B114" t="s">
        <v>41</v>
      </c>
      <c r="C114" t="s">
        <v>38</v>
      </c>
      <c r="D114" s="3">
        <v>590140</v>
      </c>
    </row>
    <row r="115" spans="1:4" x14ac:dyDescent="0.2">
      <c r="A115" t="s">
        <v>158</v>
      </c>
      <c r="B115" t="s">
        <v>24</v>
      </c>
      <c r="C115" t="s">
        <v>38</v>
      </c>
      <c r="D115" s="3">
        <v>839485</v>
      </c>
    </row>
    <row r="116" spans="1:4" x14ac:dyDescent="0.2">
      <c r="A116" t="s">
        <v>159</v>
      </c>
      <c r="B116" t="s">
        <v>41</v>
      </c>
      <c r="C116" t="s">
        <v>38</v>
      </c>
      <c r="D116" s="3">
        <v>219160</v>
      </c>
    </row>
    <row r="117" spans="1:4" x14ac:dyDescent="0.2">
      <c r="A117" t="s">
        <v>160</v>
      </c>
      <c r="B117" t="s">
        <v>41</v>
      </c>
      <c r="C117" t="s">
        <v>20</v>
      </c>
      <c r="D117" s="3">
        <v>717518</v>
      </c>
    </row>
    <row r="118" spans="1:4" x14ac:dyDescent="0.2">
      <c r="A118" t="s">
        <v>161</v>
      </c>
      <c r="B118" t="s">
        <v>18</v>
      </c>
      <c r="C118" t="s">
        <v>20</v>
      </c>
      <c r="D118" s="3">
        <v>100369</v>
      </c>
    </row>
    <row r="119" spans="1:4" x14ac:dyDescent="0.2">
      <c r="A119" t="s">
        <v>162</v>
      </c>
      <c r="B119" t="s">
        <v>41</v>
      </c>
      <c r="C119" t="s">
        <v>38</v>
      </c>
      <c r="D119" s="3">
        <v>14355</v>
      </c>
    </row>
    <row r="120" spans="1:4" x14ac:dyDescent="0.2">
      <c r="A120" t="s">
        <v>163</v>
      </c>
      <c r="B120" t="s">
        <v>18</v>
      </c>
      <c r="C120" t="s">
        <v>26</v>
      </c>
      <c r="D120" s="3">
        <v>283024</v>
      </c>
    </row>
    <row r="121" spans="1:4" x14ac:dyDescent="0.2">
      <c r="A121" t="s">
        <v>164</v>
      </c>
      <c r="B121" t="s">
        <v>41</v>
      </c>
      <c r="C121" t="s">
        <v>20</v>
      </c>
      <c r="D121" s="3">
        <v>603746</v>
      </c>
    </row>
    <row r="122" spans="1:4" x14ac:dyDescent="0.2">
      <c r="A122" t="s">
        <v>165</v>
      </c>
      <c r="B122" t="s">
        <v>18</v>
      </c>
      <c r="C122" t="s">
        <v>34</v>
      </c>
      <c r="D122" s="3">
        <v>377587</v>
      </c>
    </row>
    <row r="123" spans="1:4" x14ac:dyDescent="0.2">
      <c r="A123" t="s">
        <v>166</v>
      </c>
      <c r="B123" t="s">
        <v>18</v>
      </c>
      <c r="C123" t="s">
        <v>38</v>
      </c>
      <c r="D123" s="3">
        <v>269513</v>
      </c>
    </row>
    <row r="124" spans="1:4" x14ac:dyDescent="0.2">
      <c r="A124" t="s">
        <v>167</v>
      </c>
      <c r="B124" t="s">
        <v>24</v>
      </c>
      <c r="C124" t="s">
        <v>26</v>
      </c>
      <c r="D124" s="3">
        <v>390308</v>
      </c>
    </row>
    <row r="125" spans="1:4" x14ac:dyDescent="0.2">
      <c r="A125" t="s">
        <v>168</v>
      </c>
      <c r="B125" t="s">
        <v>29</v>
      </c>
      <c r="C125" t="s">
        <v>38</v>
      </c>
      <c r="D125" s="3">
        <v>500293</v>
      </c>
    </row>
    <row r="126" spans="1:4" x14ac:dyDescent="0.2">
      <c r="A126" t="s">
        <v>169</v>
      </c>
      <c r="B126" t="s">
        <v>18</v>
      </c>
      <c r="C126" t="s">
        <v>38</v>
      </c>
      <c r="D126" s="3">
        <v>831320</v>
      </c>
    </row>
    <row r="127" spans="1:4" x14ac:dyDescent="0.2">
      <c r="A127" t="s">
        <v>170</v>
      </c>
      <c r="B127" t="s">
        <v>24</v>
      </c>
      <c r="C127" t="s">
        <v>20</v>
      </c>
      <c r="D127" s="3">
        <v>232435</v>
      </c>
    </row>
    <row r="128" spans="1:4" x14ac:dyDescent="0.2">
      <c r="A128" t="s">
        <v>171</v>
      </c>
      <c r="B128" t="s">
        <v>29</v>
      </c>
      <c r="C128" t="s">
        <v>20</v>
      </c>
      <c r="D128" s="3">
        <v>794005</v>
      </c>
    </row>
    <row r="129" spans="1:4" x14ac:dyDescent="0.2">
      <c r="A129" t="s">
        <v>172</v>
      </c>
      <c r="B129" t="s">
        <v>18</v>
      </c>
      <c r="C129" t="s">
        <v>26</v>
      </c>
      <c r="D129" s="3">
        <v>415174</v>
      </c>
    </row>
    <row r="130" spans="1:4" x14ac:dyDescent="0.2">
      <c r="A130" t="s">
        <v>173</v>
      </c>
      <c r="B130" t="s">
        <v>41</v>
      </c>
      <c r="C130" t="s">
        <v>34</v>
      </c>
      <c r="D130" s="3">
        <v>898372</v>
      </c>
    </row>
    <row r="131" spans="1:4" x14ac:dyDescent="0.2">
      <c r="A131" t="s">
        <v>174</v>
      </c>
      <c r="B131" t="s">
        <v>41</v>
      </c>
      <c r="C131" t="s">
        <v>26</v>
      </c>
      <c r="D131" s="3">
        <v>23946</v>
      </c>
    </row>
    <row r="132" spans="1:4" x14ac:dyDescent="0.2">
      <c r="A132" t="s">
        <v>175</v>
      </c>
      <c r="B132" t="s">
        <v>24</v>
      </c>
      <c r="C132" t="s">
        <v>34</v>
      </c>
      <c r="D132" s="3">
        <v>81189</v>
      </c>
    </row>
    <row r="133" spans="1:4" x14ac:dyDescent="0.2">
      <c r="A133" t="s">
        <v>176</v>
      </c>
      <c r="B133" t="s">
        <v>41</v>
      </c>
      <c r="C133" t="s">
        <v>34</v>
      </c>
      <c r="D133" s="3">
        <v>821897</v>
      </c>
    </row>
    <row r="134" spans="1:4" x14ac:dyDescent="0.2">
      <c r="A134" t="s">
        <v>177</v>
      </c>
      <c r="B134" t="s">
        <v>29</v>
      </c>
      <c r="C134" t="s">
        <v>26</v>
      </c>
      <c r="D134" s="3">
        <v>414758</v>
      </c>
    </row>
    <row r="135" spans="1:4" x14ac:dyDescent="0.2">
      <c r="A135" t="s">
        <v>178</v>
      </c>
      <c r="B135" t="s">
        <v>18</v>
      </c>
      <c r="C135" t="s">
        <v>34</v>
      </c>
      <c r="D135" s="3">
        <v>181971</v>
      </c>
    </row>
    <row r="136" spans="1:4" x14ac:dyDescent="0.2">
      <c r="A136" t="s">
        <v>179</v>
      </c>
      <c r="B136" t="s">
        <v>24</v>
      </c>
      <c r="C136" t="s">
        <v>26</v>
      </c>
      <c r="D136" s="3">
        <v>561146</v>
      </c>
    </row>
    <row r="137" spans="1:4" x14ac:dyDescent="0.2">
      <c r="A137" t="s">
        <v>180</v>
      </c>
      <c r="B137" t="s">
        <v>24</v>
      </c>
      <c r="C137" t="s">
        <v>26</v>
      </c>
      <c r="D137" s="3">
        <v>592537</v>
      </c>
    </row>
    <row r="138" spans="1:4" x14ac:dyDescent="0.2">
      <c r="A138" t="s">
        <v>181</v>
      </c>
      <c r="B138" t="s">
        <v>24</v>
      </c>
      <c r="C138" t="s">
        <v>26</v>
      </c>
      <c r="D138" s="3">
        <v>316468</v>
      </c>
    </row>
    <row r="139" spans="1:4" x14ac:dyDescent="0.2">
      <c r="A139" t="s">
        <v>182</v>
      </c>
      <c r="B139" t="s">
        <v>18</v>
      </c>
      <c r="C139" t="s">
        <v>34</v>
      </c>
      <c r="D139" s="3">
        <v>211234</v>
      </c>
    </row>
    <row r="140" spans="1:4" x14ac:dyDescent="0.2">
      <c r="A140" t="s">
        <v>183</v>
      </c>
      <c r="B140" t="s">
        <v>41</v>
      </c>
      <c r="C140" t="s">
        <v>34</v>
      </c>
      <c r="D140" s="3">
        <v>369507</v>
      </c>
    </row>
    <row r="141" spans="1:4" x14ac:dyDescent="0.2">
      <c r="A141" t="s">
        <v>184</v>
      </c>
      <c r="B141" t="s">
        <v>18</v>
      </c>
      <c r="C141" t="s">
        <v>34</v>
      </c>
      <c r="D141" s="3">
        <v>6711</v>
      </c>
    </row>
    <row r="142" spans="1:4" x14ac:dyDescent="0.2">
      <c r="A142" t="s">
        <v>185</v>
      </c>
      <c r="B142" t="s">
        <v>18</v>
      </c>
      <c r="C142" t="s">
        <v>26</v>
      </c>
      <c r="D142" s="3">
        <v>869469</v>
      </c>
    </row>
    <row r="143" spans="1:4" x14ac:dyDescent="0.2">
      <c r="A143" t="s">
        <v>186</v>
      </c>
      <c r="B143" t="s">
        <v>18</v>
      </c>
      <c r="C143" t="s">
        <v>38</v>
      </c>
      <c r="D143" s="3">
        <v>626027</v>
      </c>
    </row>
    <row r="144" spans="1:4" x14ac:dyDescent="0.2">
      <c r="A144" t="s">
        <v>187</v>
      </c>
      <c r="B144" t="s">
        <v>18</v>
      </c>
      <c r="C144" t="s">
        <v>38</v>
      </c>
      <c r="D144" s="3">
        <v>205490</v>
      </c>
    </row>
    <row r="145" spans="1:4" x14ac:dyDescent="0.2">
      <c r="A145" t="s">
        <v>188</v>
      </c>
      <c r="B145" t="s">
        <v>18</v>
      </c>
      <c r="C145" t="s">
        <v>38</v>
      </c>
      <c r="D145" s="3">
        <v>726904</v>
      </c>
    </row>
    <row r="146" spans="1:4" x14ac:dyDescent="0.2">
      <c r="A146" t="s">
        <v>189</v>
      </c>
      <c r="B146" t="s">
        <v>41</v>
      </c>
      <c r="C146" t="s">
        <v>20</v>
      </c>
      <c r="D146" s="3">
        <v>427422</v>
      </c>
    </row>
    <row r="147" spans="1:4" x14ac:dyDescent="0.2">
      <c r="A147" t="s">
        <v>190</v>
      </c>
      <c r="B147" t="s">
        <v>41</v>
      </c>
      <c r="C147" t="s">
        <v>34</v>
      </c>
      <c r="D147" s="3">
        <v>20665</v>
      </c>
    </row>
    <row r="148" spans="1:4" x14ac:dyDescent="0.2">
      <c r="A148" t="s">
        <v>191</v>
      </c>
      <c r="B148" t="s">
        <v>24</v>
      </c>
      <c r="C148" t="s">
        <v>26</v>
      </c>
      <c r="D148" s="3">
        <v>808035</v>
      </c>
    </row>
    <row r="149" spans="1:4" x14ac:dyDescent="0.2">
      <c r="A149" t="s">
        <v>192</v>
      </c>
      <c r="B149" t="s">
        <v>41</v>
      </c>
      <c r="C149" t="s">
        <v>38</v>
      </c>
      <c r="D149" s="3">
        <v>27517</v>
      </c>
    </row>
    <row r="150" spans="1:4" x14ac:dyDescent="0.2">
      <c r="A150" t="s">
        <v>193</v>
      </c>
      <c r="B150" t="s">
        <v>18</v>
      </c>
      <c r="C150" t="s">
        <v>26</v>
      </c>
      <c r="D150" s="3">
        <v>719045</v>
      </c>
    </row>
    <row r="151" spans="1:4" x14ac:dyDescent="0.2">
      <c r="A151" t="s">
        <v>194</v>
      </c>
      <c r="B151" t="s">
        <v>18</v>
      </c>
      <c r="C151" t="s">
        <v>38</v>
      </c>
      <c r="D151" s="3">
        <v>420242</v>
      </c>
    </row>
    <row r="152" spans="1:4" x14ac:dyDescent="0.2">
      <c r="A152" t="s">
        <v>195</v>
      </c>
      <c r="B152" t="s">
        <v>18</v>
      </c>
      <c r="C152" t="s">
        <v>26</v>
      </c>
      <c r="D152" s="3">
        <v>558455</v>
      </c>
    </row>
    <row r="153" spans="1:4" x14ac:dyDescent="0.2">
      <c r="A153" t="s">
        <v>196</v>
      </c>
      <c r="B153" t="s">
        <v>41</v>
      </c>
      <c r="C153" t="s">
        <v>26</v>
      </c>
      <c r="D153" s="3">
        <v>186218</v>
      </c>
    </row>
    <row r="154" spans="1:4" x14ac:dyDescent="0.2">
      <c r="A154" t="s">
        <v>197</v>
      </c>
      <c r="B154" t="s">
        <v>18</v>
      </c>
      <c r="C154" t="s">
        <v>20</v>
      </c>
      <c r="D154" s="3">
        <v>729972</v>
      </c>
    </row>
    <row r="155" spans="1:4" x14ac:dyDescent="0.2">
      <c r="A155" t="s">
        <v>198</v>
      </c>
      <c r="B155" t="s">
        <v>18</v>
      </c>
      <c r="C155" t="s">
        <v>38</v>
      </c>
      <c r="D155" s="3">
        <v>722718</v>
      </c>
    </row>
    <row r="156" spans="1:4" x14ac:dyDescent="0.2">
      <c r="A156" t="s">
        <v>199</v>
      </c>
      <c r="B156" t="s">
        <v>24</v>
      </c>
      <c r="C156" t="s">
        <v>38</v>
      </c>
      <c r="D156" s="3">
        <v>611341</v>
      </c>
    </row>
    <row r="157" spans="1:4" x14ac:dyDescent="0.2">
      <c r="A157" t="s">
        <v>200</v>
      </c>
      <c r="B157" t="s">
        <v>24</v>
      </c>
      <c r="C157" t="s">
        <v>20</v>
      </c>
      <c r="D157" s="3">
        <v>85528</v>
      </c>
    </row>
    <row r="158" spans="1:4" x14ac:dyDescent="0.2">
      <c r="A158" t="s">
        <v>201</v>
      </c>
      <c r="B158" t="s">
        <v>24</v>
      </c>
      <c r="C158" t="s">
        <v>20</v>
      </c>
      <c r="D158" s="3">
        <v>611818</v>
      </c>
    </row>
    <row r="159" spans="1:4" x14ac:dyDescent="0.2">
      <c r="A159" t="s">
        <v>202</v>
      </c>
      <c r="B159" t="s">
        <v>18</v>
      </c>
      <c r="C159" t="s">
        <v>20</v>
      </c>
      <c r="D159" s="3">
        <v>47081</v>
      </c>
    </row>
    <row r="160" spans="1:4" x14ac:dyDescent="0.2">
      <c r="A160" t="s">
        <v>203</v>
      </c>
      <c r="B160" t="s">
        <v>41</v>
      </c>
      <c r="C160" t="s">
        <v>20</v>
      </c>
      <c r="D160" s="3">
        <v>184166</v>
      </c>
    </row>
    <row r="161" spans="1:4" x14ac:dyDescent="0.2">
      <c r="A161" t="s">
        <v>204</v>
      </c>
      <c r="B161" t="s">
        <v>29</v>
      </c>
      <c r="C161" t="s">
        <v>34</v>
      </c>
      <c r="D161" s="3">
        <v>814063</v>
      </c>
    </row>
    <row r="162" spans="1:4" x14ac:dyDescent="0.2">
      <c r="A162" t="s">
        <v>205</v>
      </c>
      <c r="B162" t="s">
        <v>18</v>
      </c>
      <c r="C162" t="s">
        <v>26</v>
      </c>
      <c r="D162" s="3">
        <v>651107</v>
      </c>
    </row>
    <row r="163" spans="1:4" x14ac:dyDescent="0.2">
      <c r="A163" t="s">
        <v>206</v>
      </c>
      <c r="B163" t="s">
        <v>18</v>
      </c>
      <c r="C163" t="s">
        <v>20</v>
      </c>
      <c r="D163" s="3">
        <v>870843</v>
      </c>
    </row>
    <row r="164" spans="1:4" x14ac:dyDescent="0.2">
      <c r="A164" t="s">
        <v>207</v>
      </c>
      <c r="B164" t="s">
        <v>18</v>
      </c>
      <c r="C164" t="s">
        <v>38</v>
      </c>
      <c r="D164" s="3">
        <v>18296</v>
      </c>
    </row>
    <row r="165" spans="1:4" x14ac:dyDescent="0.2">
      <c r="A165" t="s">
        <v>208</v>
      </c>
      <c r="B165" t="s">
        <v>41</v>
      </c>
      <c r="C165" t="s">
        <v>38</v>
      </c>
      <c r="D165" s="3">
        <v>129310</v>
      </c>
    </row>
    <row r="166" spans="1:4" x14ac:dyDescent="0.2">
      <c r="A166" t="s">
        <v>209</v>
      </c>
      <c r="B166" t="s">
        <v>41</v>
      </c>
      <c r="C166" t="s">
        <v>34</v>
      </c>
      <c r="D166" s="3">
        <v>329843</v>
      </c>
    </row>
    <row r="167" spans="1:4" x14ac:dyDescent="0.2">
      <c r="A167" t="s">
        <v>210</v>
      </c>
      <c r="B167" t="s">
        <v>24</v>
      </c>
      <c r="C167" t="s">
        <v>38</v>
      </c>
      <c r="D167" s="3">
        <v>469644</v>
      </c>
    </row>
    <row r="168" spans="1:4" x14ac:dyDescent="0.2">
      <c r="A168" t="s">
        <v>211</v>
      </c>
      <c r="B168" t="s">
        <v>18</v>
      </c>
      <c r="C168" t="s">
        <v>38</v>
      </c>
      <c r="D168" s="3">
        <v>132985</v>
      </c>
    </row>
    <row r="169" spans="1:4" x14ac:dyDescent="0.2">
      <c r="A169" t="s">
        <v>212</v>
      </c>
      <c r="B169" t="s">
        <v>24</v>
      </c>
      <c r="C169" t="s">
        <v>20</v>
      </c>
      <c r="D169" s="3">
        <v>367510</v>
      </c>
    </row>
    <row r="170" spans="1:4" x14ac:dyDescent="0.2">
      <c r="A170" t="s">
        <v>213</v>
      </c>
      <c r="B170" t="s">
        <v>41</v>
      </c>
      <c r="C170" t="s">
        <v>20</v>
      </c>
      <c r="D170" s="3">
        <v>134546</v>
      </c>
    </row>
    <row r="171" spans="1:4" x14ac:dyDescent="0.2">
      <c r="A171" t="s">
        <v>214</v>
      </c>
      <c r="B171" t="s">
        <v>24</v>
      </c>
      <c r="C171" t="s">
        <v>34</v>
      </c>
      <c r="D171" s="3">
        <v>668262</v>
      </c>
    </row>
    <row r="172" spans="1:4" x14ac:dyDescent="0.2">
      <c r="A172" t="s">
        <v>215</v>
      </c>
      <c r="B172" t="s">
        <v>41</v>
      </c>
      <c r="C172" t="s">
        <v>26</v>
      </c>
      <c r="D172" s="3">
        <v>706868</v>
      </c>
    </row>
    <row r="173" spans="1:4" x14ac:dyDescent="0.2">
      <c r="A173" t="s">
        <v>216</v>
      </c>
      <c r="B173" t="s">
        <v>41</v>
      </c>
      <c r="C173" t="s">
        <v>34</v>
      </c>
      <c r="D173" s="3">
        <v>277890</v>
      </c>
    </row>
    <row r="174" spans="1:4" x14ac:dyDescent="0.2">
      <c r="A174" t="s">
        <v>217</v>
      </c>
      <c r="B174" t="s">
        <v>41</v>
      </c>
      <c r="C174" t="s">
        <v>26</v>
      </c>
      <c r="D174" s="3">
        <v>677995</v>
      </c>
    </row>
    <row r="175" spans="1:4" x14ac:dyDescent="0.2">
      <c r="A175" t="s">
        <v>218</v>
      </c>
      <c r="B175" t="s">
        <v>24</v>
      </c>
      <c r="C175" t="s">
        <v>34</v>
      </c>
      <c r="D175" s="3">
        <v>22460</v>
      </c>
    </row>
    <row r="176" spans="1:4" x14ac:dyDescent="0.2">
      <c r="A176" t="s">
        <v>219</v>
      </c>
      <c r="B176" t="s">
        <v>24</v>
      </c>
      <c r="C176" t="s">
        <v>26</v>
      </c>
      <c r="D176" s="3">
        <v>178873</v>
      </c>
    </row>
    <row r="177" spans="1:4" x14ac:dyDescent="0.2">
      <c r="A177" t="s">
        <v>220</v>
      </c>
      <c r="B177" t="s">
        <v>29</v>
      </c>
      <c r="C177" t="s">
        <v>20</v>
      </c>
      <c r="D177" s="3">
        <v>265740</v>
      </c>
    </row>
    <row r="178" spans="1:4" x14ac:dyDescent="0.2">
      <c r="A178" t="s">
        <v>221</v>
      </c>
      <c r="B178" t="s">
        <v>41</v>
      </c>
      <c r="C178" t="s">
        <v>20</v>
      </c>
      <c r="D178" s="3">
        <v>828627</v>
      </c>
    </row>
    <row r="179" spans="1:4" x14ac:dyDescent="0.2">
      <c r="A179" t="s">
        <v>222</v>
      </c>
      <c r="B179" t="s">
        <v>18</v>
      </c>
      <c r="C179" t="s">
        <v>20</v>
      </c>
      <c r="D179" s="3">
        <v>891501</v>
      </c>
    </row>
    <row r="180" spans="1:4" x14ac:dyDescent="0.2">
      <c r="A180" t="s">
        <v>223</v>
      </c>
      <c r="B180" t="s">
        <v>24</v>
      </c>
      <c r="C180" t="s">
        <v>38</v>
      </c>
      <c r="D180" s="3">
        <v>449004</v>
      </c>
    </row>
    <row r="181" spans="1:4" x14ac:dyDescent="0.2">
      <c r="A181" t="s">
        <v>224</v>
      </c>
      <c r="B181" t="s">
        <v>18</v>
      </c>
      <c r="C181" t="s">
        <v>20</v>
      </c>
      <c r="D181" s="3">
        <v>796800</v>
      </c>
    </row>
    <row r="182" spans="1:4" x14ac:dyDescent="0.2">
      <c r="A182" t="s">
        <v>225</v>
      </c>
      <c r="B182" t="s">
        <v>18</v>
      </c>
      <c r="C182" t="s">
        <v>38</v>
      </c>
      <c r="D182" s="3">
        <v>514787</v>
      </c>
    </row>
    <row r="183" spans="1:4" x14ac:dyDescent="0.2">
      <c r="A183" t="s">
        <v>226</v>
      </c>
      <c r="B183" t="s">
        <v>18</v>
      </c>
      <c r="C183" t="s">
        <v>38</v>
      </c>
      <c r="D183" s="3">
        <v>639442</v>
      </c>
    </row>
    <row r="184" spans="1:4" x14ac:dyDescent="0.2">
      <c r="A184" t="s">
        <v>227</v>
      </c>
      <c r="B184" t="s">
        <v>41</v>
      </c>
      <c r="C184" t="s">
        <v>20</v>
      </c>
      <c r="D184" s="3">
        <v>312374</v>
      </c>
    </row>
    <row r="185" spans="1:4" x14ac:dyDescent="0.2">
      <c r="A185" t="s">
        <v>228</v>
      </c>
      <c r="B185" t="s">
        <v>24</v>
      </c>
      <c r="C185" t="s">
        <v>26</v>
      </c>
      <c r="D185" s="3">
        <v>101821</v>
      </c>
    </row>
    <row r="186" spans="1:4" x14ac:dyDescent="0.2">
      <c r="A186" t="s">
        <v>229</v>
      </c>
      <c r="B186" t="s">
        <v>18</v>
      </c>
      <c r="C186" t="s">
        <v>38</v>
      </c>
      <c r="D186" s="3">
        <v>641246</v>
      </c>
    </row>
    <row r="187" spans="1:4" x14ac:dyDescent="0.2">
      <c r="A187" t="s">
        <v>230</v>
      </c>
      <c r="B187" t="s">
        <v>24</v>
      </c>
      <c r="C187" t="s">
        <v>38</v>
      </c>
      <c r="D187" s="3">
        <v>750978</v>
      </c>
    </row>
    <row r="188" spans="1:4" x14ac:dyDescent="0.2">
      <c r="A188" t="s">
        <v>231</v>
      </c>
      <c r="B188" t="s">
        <v>24</v>
      </c>
      <c r="C188" t="s">
        <v>20</v>
      </c>
      <c r="D188" s="3">
        <v>570924</v>
      </c>
    </row>
    <row r="189" spans="1:4" x14ac:dyDescent="0.2">
      <c r="A189" t="s">
        <v>232</v>
      </c>
      <c r="B189" t="s">
        <v>18</v>
      </c>
      <c r="C189" t="s">
        <v>38</v>
      </c>
      <c r="D189" s="3">
        <v>473737</v>
      </c>
    </row>
    <row r="190" spans="1:4" x14ac:dyDescent="0.2">
      <c r="A190" t="s">
        <v>233</v>
      </c>
      <c r="B190" t="s">
        <v>24</v>
      </c>
      <c r="C190" t="s">
        <v>38</v>
      </c>
      <c r="D190" s="3">
        <v>496303</v>
      </c>
    </row>
    <row r="191" spans="1:4" x14ac:dyDescent="0.2">
      <c r="A191" t="s">
        <v>234</v>
      </c>
      <c r="B191" t="s">
        <v>18</v>
      </c>
      <c r="C191" t="s">
        <v>26</v>
      </c>
      <c r="D191" s="3">
        <v>509103</v>
      </c>
    </row>
    <row r="192" spans="1:4" x14ac:dyDescent="0.2">
      <c r="A192" t="s">
        <v>235</v>
      </c>
      <c r="B192" t="s">
        <v>24</v>
      </c>
      <c r="C192" t="s">
        <v>26</v>
      </c>
      <c r="D192" s="3">
        <v>871023</v>
      </c>
    </row>
    <row r="193" spans="1:4" x14ac:dyDescent="0.2">
      <c r="A193" t="s">
        <v>236</v>
      </c>
      <c r="B193" t="s">
        <v>24</v>
      </c>
      <c r="C193" t="s">
        <v>20</v>
      </c>
      <c r="D193" s="3">
        <v>290033</v>
      </c>
    </row>
    <row r="194" spans="1:4" x14ac:dyDescent="0.2">
      <c r="A194" t="s">
        <v>237</v>
      </c>
      <c r="B194" t="s">
        <v>18</v>
      </c>
      <c r="C194" t="s">
        <v>20</v>
      </c>
      <c r="D194" s="3">
        <v>55289</v>
      </c>
    </row>
    <row r="195" spans="1:4" x14ac:dyDescent="0.2">
      <c r="A195" t="s">
        <v>238</v>
      </c>
      <c r="B195" t="s">
        <v>41</v>
      </c>
      <c r="C195" t="s">
        <v>26</v>
      </c>
      <c r="D195" s="3">
        <v>696630</v>
      </c>
    </row>
    <row r="196" spans="1:4" x14ac:dyDescent="0.2">
      <c r="A196" t="s">
        <v>239</v>
      </c>
      <c r="B196" t="s">
        <v>18</v>
      </c>
      <c r="C196" t="s">
        <v>38</v>
      </c>
      <c r="D196" s="3">
        <v>62281</v>
      </c>
    </row>
    <row r="197" spans="1:4" x14ac:dyDescent="0.2">
      <c r="A197" t="s">
        <v>240</v>
      </c>
      <c r="B197" t="s">
        <v>18</v>
      </c>
      <c r="C197" t="s">
        <v>20</v>
      </c>
      <c r="D197" s="3">
        <v>437639</v>
      </c>
    </row>
    <row r="198" spans="1:4" x14ac:dyDescent="0.2">
      <c r="A198" t="s">
        <v>241</v>
      </c>
      <c r="B198" t="s">
        <v>41</v>
      </c>
      <c r="C198" t="s">
        <v>26</v>
      </c>
      <c r="D198" s="3">
        <v>475018</v>
      </c>
    </row>
    <row r="199" spans="1:4" x14ac:dyDescent="0.2">
      <c r="A199" t="s">
        <v>242</v>
      </c>
      <c r="B199" t="s">
        <v>41</v>
      </c>
      <c r="C199" t="s">
        <v>20</v>
      </c>
      <c r="D199" s="3">
        <v>452949</v>
      </c>
    </row>
    <row r="200" spans="1:4" x14ac:dyDescent="0.2">
      <c r="A200" t="s">
        <v>243</v>
      </c>
      <c r="B200" t="s">
        <v>18</v>
      </c>
      <c r="C200" t="s">
        <v>26</v>
      </c>
      <c r="D200" s="3">
        <v>675314</v>
      </c>
    </row>
    <row r="201" spans="1:4" x14ac:dyDescent="0.2">
      <c r="A201" t="s">
        <v>244</v>
      </c>
      <c r="B201" t="s">
        <v>29</v>
      </c>
      <c r="C201" t="s">
        <v>26</v>
      </c>
      <c r="D201" s="3">
        <v>227504</v>
      </c>
    </row>
    <row r="202" spans="1:4" x14ac:dyDescent="0.2">
      <c r="A202" t="s">
        <v>245</v>
      </c>
      <c r="B202" t="s">
        <v>41</v>
      </c>
      <c r="C202" t="s">
        <v>26</v>
      </c>
      <c r="D202" s="3">
        <v>407921</v>
      </c>
    </row>
    <row r="203" spans="1:4" x14ac:dyDescent="0.2">
      <c r="A203" t="s">
        <v>246</v>
      </c>
      <c r="B203" t="s">
        <v>18</v>
      </c>
      <c r="C203" t="s">
        <v>20</v>
      </c>
      <c r="D203" s="3">
        <v>519998</v>
      </c>
    </row>
    <row r="204" spans="1:4" x14ac:dyDescent="0.2">
      <c r="A204" t="s">
        <v>247</v>
      </c>
      <c r="B204" t="s">
        <v>41</v>
      </c>
      <c r="C204" t="s">
        <v>34</v>
      </c>
      <c r="D204" s="3">
        <v>655026</v>
      </c>
    </row>
    <row r="205" spans="1:4" x14ac:dyDescent="0.2">
      <c r="A205" t="s">
        <v>248</v>
      </c>
      <c r="B205" t="s">
        <v>18</v>
      </c>
      <c r="C205" t="s">
        <v>38</v>
      </c>
      <c r="D205" s="3">
        <v>592869</v>
      </c>
    </row>
    <row r="206" spans="1:4" x14ac:dyDescent="0.2">
      <c r="A206" t="s">
        <v>249</v>
      </c>
      <c r="B206" t="s">
        <v>41</v>
      </c>
      <c r="C206" t="s">
        <v>26</v>
      </c>
      <c r="D206" s="3">
        <v>533267</v>
      </c>
    </row>
    <row r="207" spans="1:4" x14ac:dyDescent="0.2">
      <c r="A207" t="s">
        <v>250</v>
      </c>
      <c r="B207" t="s">
        <v>41</v>
      </c>
      <c r="C207" t="s">
        <v>26</v>
      </c>
      <c r="D207" s="3">
        <v>319077</v>
      </c>
    </row>
    <row r="208" spans="1:4" x14ac:dyDescent="0.2">
      <c r="A208" t="s">
        <v>251</v>
      </c>
      <c r="B208" t="s">
        <v>41</v>
      </c>
      <c r="C208" t="s">
        <v>38</v>
      </c>
      <c r="D208" s="3">
        <v>851189</v>
      </c>
    </row>
    <row r="209" spans="1:4" x14ac:dyDescent="0.2">
      <c r="A209" t="s">
        <v>252</v>
      </c>
      <c r="B209" t="s">
        <v>41</v>
      </c>
      <c r="C209" t="s">
        <v>26</v>
      </c>
      <c r="D209" s="3">
        <v>496039</v>
      </c>
    </row>
    <row r="210" spans="1:4" x14ac:dyDescent="0.2">
      <c r="A210" t="s">
        <v>253</v>
      </c>
      <c r="B210" t="s">
        <v>18</v>
      </c>
      <c r="C210" t="s">
        <v>34</v>
      </c>
      <c r="D210" s="3">
        <v>622226</v>
      </c>
    </row>
    <row r="211" spans="1:4" x14ac:dyDescent="0.2">
      <c r="A211" t="s">
        <v>254</v>
      </c>
      <c r="B211" t="s">
        <v>41</v>
      </c>
      <c r="C211" t="s">
        <v>38</v>
      </c>
      <c r="D211" s="3">
        <v>69474</v>
      </c>
    </row>
    <row r="212" spans="1:4" x14ac:dyDescent="0.2">
      <c r="A212" t="s">
        <v>255</v>
      </c>
      <c r="B212" t="s">
        <v>29</v>
      </c>
      <c r="C212" t="s">
        <v>26</v>
      </c>
      <c r="D212" s="3">
        <v>231386</v>
      </c>
    </row>
    <row r="213" spans="1:4" x14ac:dyDescent="0.2">
      <c r="A213" t="s">
        <v>256</v>
      </c>
      <c r="B213" t="s">
        <v>29</v>
      </c>
      <c r="C213" t="s">
        <v>38</v>
      </c>
      <c r="D213" s="3">
        <v>188296</v>
      </c>
    </row>
    <row r="214" spans="1:4" x14ac:dyDescent="0.2">
      <c r="A214" t="s">
        <v>257</v>
      </c>
      <c r="B214" t="s">
        <v>41</v>
      </c>
      <c r="C214" t="s">
        <v>26</v>
      </c>
      <c r="D214" s="3">
        <v>767062</v>
      </c>
    </row>
    <row r="215" spans="1:4" x14ac:dyDescent="0.2">
      <c r="A215" t="s">
        <v>258</v>
      </c>
      <c r="B215" t="s">
        <v>41</v>
      </c>
      <c r="C215" t="s">
        <v>34</v>
      </c>
      <c r="D215" s="3">
        <v>380687</v>
      </c>
    </row>
    <row r="216" spans="1:4" x14ac:dyDescent="0.2">
      <c r="A216" t="s">
        <v>259</v>
      </c>
      <c r="B216" t="s">
        <v>24</v>
      </c>
      <c r="C216" t="s">
        <v>34</v>
      </c>
      <c r="D216" s="3">
        <v>399379</v>
      </c>
    </row>
    <row r="217" spans="1:4" x14ac:dyDescent="0.2">
      <c r="A217" t="s">
        <v>260</v>
      </c>
      <c r="B217" t="s">
        <v>18</v>
      </c>
      <c r="C217" t="s">
        <v>38</v>
      </c>
      <c r="D217" s="3">
        <v>41652</v>
      </c>
    </row>
    <row r="218" spans="1:4" x14ac:dyDescent="0.2">
      <c r="A218" t="s">
        <v>261</v>
      </c>
      <c r="B218" t="s">
        <v>41</v>
      </c>
      <c r="C218" t="s">
        <v>38</v>
      </c>
      <c r="D218" s="3">
        <v>476701</v>
      </c>
    </row>
    <row r="219" spans="1:4" x14ac:dyDescent="0.2">
      <c r="A219" t="s">
        <v>262</v>
      </c>
      <c r="B219" t="s">
        <v>29</v>
      </c>
      <c r="C219" t="s">
        <v>26</v>
      </c>
      <c r="D219" s="3">
        <v>785616</v>
      </c>
    </row>
    <row r="220" spans="1:4" x14ac:dyDescent="0.2">
      <c r="A220" t="s">
        <v>263</v>
      </c>
      <c r="B220" t="s">
        <v>29</v>
      </c>
      <c r="C220" t="s">
        <v>20</v>
      </c>
      <c r="D220" s="3">
        <v>53037</v>
      </c>
    </row>
    <row r="221" spans="1:4" x14ac:dyDescent="0.2">
      <c r="A221" t="s">
        <v>264</v>
      </c>
      <c r="B221" t="s">
        <v>18</v>
      </c>
      <c r="C221" t="s">
        <v>20</v>
      </c>
      <c r="D221" s="3">
        <v>500550</v>
      </c>
    </row>
    <row r="222" spans="1:4" x14ac:dyDescent="0.2">
      <c r="A222" t="s">
        <v>265</v>
      </c>
      <c r="B222" t="s">
        <v>18</v>
      </c>
      <c r="C222" t="s">
        <v>26</v>
      </c>
      <c r="D222" s="3">
        <v>429468</v>
      </c>
    </row>
    <row r="223" spans="1:4" x14ac:dyDescent="0.2">
      <c r="A223" t="s">
        <v>266</v>
      </c>
      <c r="B223" t="s">
        <v>18</v>
      </c>
      <c r="C223" t="s">
        <v>34</v>
      </c>
      <c r="D223" s="3">
        <v>711885</v>
      </c>
    </row>
    <row r="224" spans="1:4" x14ac:dyDescent="0.2">
      <c r="A224" t="s">
        <v>267</v>
      </c>
      <c r="B224" t="s">
        <v>41</v>
      </c>
      <c r="C224" t="s">
        <v>34</v>
      </c>
      <c r="D224" s="3">
        <v>715571</v>
      </c>
    </row>
    <row r="225" spans="1:4" x14ac:dyDescent="0.2">
      <c r="A225" t="s">
        <v>268</v>
      </c>
      <c r="B225" t="s">
        <v>41</v>
      </c>
      <c r="C225" t="s">
        <v>34</v>
      </c>
      <c r="D225" s="3">
        <v>181794</v>
      </c>
    </row>
    <row r="226" spans="1:4" x14ac:dyDescent="0.2">
      <c r="A226" t="s">
        <v>269</v>
      </c>
      <c r="B226" t="s">
        <v>24</v>
      </c>
      <c r="C226" t="s">
        <v>26</v>
      </c>
      <c r="D226" s="3">
        <v>615616</v>
      </c>
    </row>
    <row r="227" spans="1:4" x14ac:dyDescent="0.2">
      <c r="A227" t="s">
        <v>270</v>
      </c>
      <c r="B227" t="s">
        <v>41</v>
      </c>
      <c r="C227" t="s">
        <v>26</v>
      </c>
      <c r="D227" s="3">
        <v>434720</v>
      </c>
    </row>
    <row r="228" spans="1:4" x14ac:dyDescent="0.2">
      <c r="A228" t="s">
        <v>271</v>
      </c>
      <c r="B228" t="s">
        <v>24</v>
      </c>
      <c r="C228" t="s">
        <v>34</v>
      </c>
      <c r="D228" s="3">
        <v>404898</v>
      </c>
    </row>
    <row r="229" spans="1:4" x14ac:dyDescent="0.2">
      <c r="A229" t="s">
        <v>272</v>
      </c>
      <c r="B229" t="s">
        <v>18</v>
      </c>
      <c r="C229" t="s">
        <v>26</v>
      </c>
      <c r="D229" s="3">
        <v>785439</v>
      </c>
    </row>
    <row r="230" spans="1:4" x14ac:dyDescent="0.2">
      <c r="A230" t="s">
        <v>273</v>
      </c>
      <c r="B230" t="s">
        <v>29</v>
      </c>
      <c r="C230" t="s">
        <v>34</v>
      </c>
      <c r="D230" s="3">
        <v>260514</v>
      </c>
    </row>
    <row r="231" spans="1:4" x14ac:dyDescent="0.2">
      <c r="A231" t="s">
        <v>274</v>
      </c>
      <c r="B231" t="s">
        <v>18</v>
      </c>
      <c r="C231" t="s">
        <v>38</v>
      </c>
      <c r="D231" s="3">
        <v>57820</v>
      </c>
    </row>
    <row r="232" spans="1:4" x14ac:dyDescent="0.2">
      <c r="A232" t="s">
        <v>275</v>
      </c>
      <c r="B232" t="s">
        <v>29</v>
      </c>
      <c r="C232" t="s">
        <v>20</v>
      </c>
      <c r="D232" s="3">
        <v>7464</v>
      </c>
    </row>
    <row r="233" spans="1:4" x14ac:dyDescent="0.2">
      <c r="A233" t="s">
        <v>276</v>
      </c>
      <c r="B233" t="s">
        <v>41</v>
      </c>
      <c r="C233" t="s">
        <v>20</v>
      </c>
      <c r="D233" s="3">
        <v>205895</v>
      </c>
    </row>
    <row r="234" spans="1:4" x14ac:dyDescent="0.2">
      <c r="A234" t="s">
        <v>277</v>
      </c>
      <c r="B234" t="s">
        <v>18</v>
      </c>
      <c r="C234" t="s">
        <v>20</v>
      </c>
      <c r="D234" s="3">
        <v>583698</v>
      </c>
    </row>
    <row r="235" spans="1:4" x14ac:dyDescent="0.2">
      <c r="A235" t="s">
        <v>278</v>
      </c>
      <c r="B235" t="s">
        <v>29</v>
      </c>
      <c r="C235" t="s">
        <v>38</v>
      </c>
      <c r="D235" s="3">
        <v>340289</v>
      </c>
    </row>
    <row r="236" spans="1:4" x14ac:dyDescent="0.2">
      <c r="A236" t="s">
        <v>279</v>
      </c>
      <c r="B236" t="s">
        <v>18</v>
      </c>
      <c r="C236" t="s">
        <v>38</v>
      </c>
      <c r="D236" s="3">
        <v>644215</v>
      </c>
    </row>
    <row r="237" spans="1:4" x14ac:dyDescent="0.2">
      <c r="A237" t="s">
        <v>280</v>
      </c>
      <c r="B237" t="s">
        <v>41</v>
      </c>
      <c r="C237" t="s">
        <v>34</v>
      </c>
      <c r="D237" s="3">
        <v>722695</v>
      </c>
    </row>
    <row r="238" spans="1:4" x14ac:dyDescent="0.2">
      <c r="A238" t="s">
        <v>281</v>
      </c>
      <c r="B238" t="s">
        <v>41</v>
      </c>
      <c r="C238" t="s">
        <v>38</v>
      </c>
      <c r="D238" s="3">
        <v>356064</v>
      </c>
    </row>
    <row r="239" spans="1:4" x14ac:dyDescent="0.2">
      <c r="A239" t="s">
        <v>282</v>
      </c>
      <c r="B239" t="s">
        <v>24</v>
      </c>
      <c r="C239" t="s">
        <v>20</v>
      </c>
      <c r="D239" s="3">
        <v>320677</v>
      </c>
    </row>
    <row r="240" spans="1:4" x14ac:dyDescent="0.2">
      <c r="A240" t="s">
        <v>283</v>
      </c>
      <c r="B240" t="s">
        <v>24</v>
      </c>
      <c r="C240" t="s">
        <v>26</v>
      </c>
      <c r="D240" s="3">
        <v>158373</v>
      </c>
    </row>
    <row r="241" spans="1:4" x14ac:dyDescent="0.2">
      <c r="A241" t="s">
        <v>284</v>
      </c>
      <c r="B241" t="s">
        <v>41</v>
      </c>
      <c r="C241" t="s">
        <v>34</v>
      </c>
      <c r="D241" s="3">
        <v>775411</v>
      </c>
    </row>
    <row r="242" spans="1:4" x14ac:dyDescent="0.2">
      <c r="A242" t="s">
        <v>285</v>
      </c>
      <c r="B242" t="s">
        <v>18</v>
      </c>
      <c r="C242" t="s">
        <v>26</v>
      </c>
      <c r="D242" s="3">
        <v>647217</v>
      </c>
    </row>
    <row r="243" spans="1:4" x14ac:dyDescent="0.2">
      <c r="A243" t="s">
        <v>286</v>
      </c>
      <c r="B243" t="s">
        <v>41</v>
      </c>
      <c r="C243" t="s">
        <v>34</v>
      </c>
      <c r="D243" s="3">
        <v>208931</v>
      </c>
    </row>
    <row r="244" spans="1:4" x14ac:dyDescent="0.2">
      <c r="A244" t="s">
        <v>287</v>
      </c>
      <c r="B244" t="s">
        <v>41</v>
      </c>
      <c r="C244" t="s">
        <v>34</v>
      </c>
      <c r="D244" s="3">
        <v>602454</v>
      </c>
    </row>
    <row r="245" spans="1:4" x14ac:dyDescent="0.2">
      <c r="A245" t="s">
        <v>288</v>
      </c>
      <c r="B245" t="s">
        <v>24</v>
      </c>
      <c r="C245" t="s">
        <v>38</v>
      </c>
      <c r="D245" s="3">
        <v>578801</v>
      </c>
    </row>
    <row r="246" spans="1:4" x14ac:dyDescent="0.2">
      <c r="A246" t="s">
        <v>289</v>
      </c>
      <c r="B246" t="s">
        <v>41</v>
      </c>
      <c r="C246" t="s">
        <v>20</v>
      </c>
      <c r="D246" s="3">
        <v>608017</v>
      </c>
    </row>
    <row r="247" spans="1:4" x14ac:dyDescent="0.2">
      <c r="A247" t="s">
        <v>290</v>
      </c>
      <c r="B247" t="s">
        <v>41</v>
      </c>
      <c r="C247" t="s">
        <v>26</v>
      </c>
      <c r="D247" s="3">
        <v>50358</v>
      </c>
    </row>
    <row r="248" spans="1:4" x14ac:dyDescent="0.2">
      <c r="A248" t="s">
        <v>291</v>
      </c>
      <c r="B248" t="s">
        <v>41</v>
      </c>
      <c r="C248" t="s">
        <v>34</v>
      </c>
      <c r="D248" s="3">
        <v>702660</v>
      </c>
    </row>
    <row r="249" spans="1:4" x14ac:dyDescent="0.2">
      <c r="A249" t="s">
        <v>292</v>
      </c>
      <c r="B249" t="s">
        <v>18</v>
      </c>
      <c r="C249" t="s">
        <v>20</v>
      </c>
      <c r="D249" s="3">
        <v>614052</v>
      </c>
    </row>
    <row r="250" spans="1:4" x14ac:dyDescent="0.2">
      <c r="A250" t="s">
        <v>293</v>
      </c>
      <c r="B250" t="s">
        <v>18</v>
      </c>
      <c r="C250" t="s">
        <v>20</v>
      </c>
      <c r="D250" s="3">
        <v>353839</v>
      </c>
    </row>
    <row r="251" spans="1:4" x14ac:dyDescent="0.2">
      <c r="A251" t="s">
        <v>294</v>
      </c>
      <c r="B251" t="s">
        <v>41</v>
      </c>
      <c r="C251" t="s">
        <v>20</v>
      </c>
      <c r="D251" s="3">
        <v>175751</v>
      </c>
    </row>
    <row r="252" spans="1:4" x14ac:dyDescent="0.2">
      <c r="A252" t="s">
        <v>295</v>
      </c>
      <c r="B252" t="s">
        <v>41</v>
      </c>
      <c r="C252" t="s">
        <v>34</v>
      </c>
      <c r="D252" s="3">
        <v>631760</v>
      </c>
    </row>
    <row r="253" spans="1:4" x14ac:dyDescent="0.2">
      <c r="A253" t="s">
        <v>296</v>
      </c>
      <c r="B253" t="s">
        <v>18</v>
      </c>
      <c r="C253" t="s">
        <v>26</v>
      </c>
      <c r="D253" s="3">
        <v>750771</v>
      </c>
    </row>
    <row r="254" spans="1:4" x14ac:dyDescent="0.2">
      <c r="A254" t="s">
        <v>297</v>
      </c>
      <c r="B254" t="s">
        <v>18</v>
      </c>
      <c r="C254" t="s">
        <v>20</v>
      </c>
      <c r="D254" s="3">
        <v>872290</v>
      </c>
    </row>
    <row r="255" spans="1:4" x14ac:dyDescent="0.2">
      <c r="A255" t="s">
        <v>298</v>
      </c>
      <c r="B255" t="s">
        <v>24</v>
      </c>
      <c r="C255" t="s">
        <v>26</v>
      </c>
      <c r="D255" s="3">
        <v>696593</v>
      </c>
    </row>
    <row r="256" spans="1:4" x14ac:dyDescent="0.2">
      <c r="A256" t="s">
        <v>299</v>
      </c>
      <c r="B256" t="s">
        <v>41</v>
      </c>
      <c r="C256" t="s">
        <v>26</v>
      </c>
      <c r="D256" s="3">
        <v>48228</v>
      </c>
    </row>
    <row r="257" spans="1:4" x14ac:dyDescent="0.2">
      <c r="A257" t="s">
        <v>300</v>
      </c>
      <c r="B257" t="s">
        <v>41</v>
      </c>
      <c r="C257" t="s">
        <v>26</v>
      </c>
      <c r="D257" s="3">
        <v>98318</v>
      </c>
    </row>
    <row r="258" spans="1:4" x14ac:dyDescent="0.2">
      <c r="A258" t="s">
        <v>301</v>
      </c>
      <c r="B258" t="s">
        <v>41</v>
      </c>
      <c r="C258" t="s">
        <v>20</v>
      </c>
      <c r="D258" s="3">
        <v>767150</v>
      </c>
    </row>
    <row r="259" spans="1:4" x14ac:dyDescent="0.2">
      <c r="A259" t="s">
        <v>302</v>
      </c>
      <c r="B259" t="s">
        <v>18</v>
      </c>
      <c r="C259" t="s">
        <v>38</v>
      </c>
      <c r="D259" s="3">
        <v>626222</v>
      </c>
    </row>
    <row r="260" spans="1:4" x14ac:dyDescent="0.2">
      <c r="A260" t="s">
        <v>303</v>
      </c>
      <c r="B260" t="s">
        <v>18</v>
      </c>
      <c r="C260" t="s">
        <v>26</v>
      </c>
      <c r="D260" s="3">
        <v>840990</v>
      </c>
    </row>
    <row r="261" spans="1:4" x14ac:dyDescent="0.2">
      <c r="A261" t="s">
        <v>304</v>
      </c>
      <c r="B261" t="s">
        <v>29</v>
      </c>
      <c r="C261" t="s">
        <v>38</v>
      </c>
      <c r="D261" s="3">
        <v>483393</v>
      </c>
    </row>
    <row r="262" spans="1:4" x14ac:dyDescent="0.2">
      <c r="A262" t="s">
        <v>305</v>
      </c>
      <c r="B262" t="s">
        <v>18</v>
      </c>
      <c r="C262" t="s">
        <v>20</v>
      </c>
      <c r="D262" s="3">
        <v>898047</v>
      </c>
    </row>
    <row r="263" spans="1:4" x14ac:dyDescent="0.2">
      <c r="A263" t="s">
        <v>306</v>
      </c>
      <c r="B263" t="s">
        <v>41</v>
      </c>
      <c r="C263" t="s">
        <v>38</v>
      </c>
      <c r="D263" s="3">
        <v>548995</v>
      </c>
    </row>
    <row r="264" spans="1:4" x14ac:dyDescent="0.2">
      <c r="A264" t="s">
        <v>307</v>
      </c>
      <c r="B264" t="s">
        <v>41</v>
      </c>
      <c r="C264" t="s">
        <v>38</v>
      </c>
      <c r="D264" s="3">
        <v>216900</v>
      </c>
    </row>
    <row r="265" spans="1:4" x14ac:dyDescent="0.2">
      <c r="A265" t="s">
        <v>308</v>
      </c>
      <c r="B265" t="s">
        <v>41</v>
      </c>
      <c r="C265" t="s">
        <v>26</v>
      </c>
      <c r="D265" s="3">
        <v>551602</v>
      </c>
    </row>
    <row r="266" spans="1:4" x14ac:dyDescent="0.2">
      <c r="A266" t="s">
        <v>309</v>
      </c>
      <c r="B266" t="s">
        <v>41</v>
      </c>
      <c r="C266" t="s">
        <v>20</v>
      </c>
      <c r="D266" s="3">
        <v>730065</v>
      </c>
    </row>
    <row r="267" spans="1:4" x14ac:dyDescent="0.2">
      <c r="A267" t="s">
        <v>310</v>
      </c>
      <c r="B267" t="s">
        <v>41</v>
      </c>
      <c r="C267" t="s">
        <v>38</v>
      </c>
      <c r="D267" s="3">
        <v>744424</v>
      </c>
    </row>
    <row r="268" spans="1:4" x14ac:dyDescent="0.2">
      <c r="A268" t="s">
        <v>311</v>
      </c>
      <c r="B268" t="s">
        <v>18</v>
      </c>
      <c r="C268" t="s">
        <v>26</v>
      </c>
      <c r="D268" s="3">
        <v>218015</v>
      </c>
    </row>
    <row r="269" spans="1:4" x14ac:dyDescent="0.2">
      <c r="A269" t="s">
        <v>312</v>
      </c>
      <c r="B269" t="s">
        <v>24</v>
      </c>
      <c r="C269" t="s">
        <v>20</v>
      </c>
      <c r="D269" s="3">
        <v>518660</v>
      </c>
    </row>
    <row r="270" spans="1:4" x14ac:dyDescent="0.2">
      <c r="A270" t="s">
        <v>313</v>
      </c>
      <c r="B270" t="s">
        <v>18</v>
      </c>
      <c r="C270" t="s">
        <v>26</v>
      </c>
      <c r="D270" s="3">
        <v>70507</v>
      </c>
    </row>
    <row r="271" spans="1:4" x14ac:dyDescent="0.2">
      <c r="A271" t="s">
        <v>314</v>
      </c>
      <c r="B271" t="s">
        <v>24</v>
      </c>
      <c r="C271" t="s">
        <v>26</v>
      </c>
      <c r="D271" s="3">
        <v>286965</v>
      </c>
    </row>
    <row r="272" spans="1:4" x14ac:dyDescent="0.2">
      <c r="A272" t="s">
        <v>315</v>
      </c>
      <c r="B272" t="s">
        <v>24</v>
      </c>
      <c r="C272" t="s">
        <v>34</v>
      </c>
      <c r="D272" s="3">
        <v>117019</v>
      </c>
    </row>
    <row r="273" spans="1:4" x14ac:dyDescent="0.2">
      <c r="A273" t="s">
        <v>316</v>
      </c>
      <c r="B273" t="s">
        <v>24</v>
      </c>
      <c r="C273" t="s">
        <v>38</v>
      </c>
      <c r="D273" s="3">
        <v>197116</v>
      </c>
    </row>
    <row r="274" spans="1:4" x14ac:dyDescent="0.2">
      <c r="A274" t="s">
        <v>317</v>
      </c>
      <c r="B274" t="s">
        <v>41</v>
      </c>
      <c r="C274" t="s">
        <v>34</v>
      </c>
      <c r="D274" s="3">
        <v>710089</v>
      </c>
    </row>
    <row r="275" spans="1:4" x14ac:dyDescent="0.2">
      <c r="A275" t="s">
        <v>318</v>
      </c>
      <c r="B275" t="s">
        <v>41</v>
      </c>
      <c r="C275" t="s">
        <v>34</v>
      </c>
      <c r="D275" s="3">
        <v>651657</v>
      </c>
    </row>
    <row r="276" spans="1:4" x14ac:dyDescent="0.2">
      <c r="A276" t="s">
        <v>319</v>
      </c>
      <c r="B276" t="s">
        <v>18</v>
      </c>
      <c r="C276" t="s">
        <v>20</v>
      </c>
      <c r="D276" s="3">
        <v>469923</v>
      </c>
    </row>
    <row r="277" spans="1:4" x14ac:dyDescent="0.2">
      <c r="A277" t="s">
        <v>320</v>
      </c>
      <c r="B277" t="s">
        <v>41</v>
      </c>
      <c r="C277" t="s">
        <v>34</v>
      </c>
      <c r="D277" s="3">
        <v>386618</v>
      </c>
    </row>
    <row r="278" spans="1:4" x14ac:dyDescent="0.2">
      <c r="A278" t="s">
        <v>321</v>
      </c>
      <c r="B278" t="s">
        <v>41</v>
      </c>
      <c r="C278" t="s">
        <v>26</v>
      </c>
      <c r="D278" s="3">
        <v>275007</v>
      </c>
    </row>
    <row r="279" spans="1:4" x14ac:dyDescent="0.2">
      <c r="A279" t="s">
        <v>322</v>
      </c>
      <c r="B279" t="s">
        <v>41</v>
      </c>
      <c r="C279" t="s">
        <v>34</v>
      </c>
      <c r="D279" s="3">
        <v>470234</v>
      </c>
    </row>
    <row r="280" spans="1:4" x14ac:dyDescent="0.2">
      <c r="A280" t="s">
        <v>323</v>
      </c>
      <c r="B280" t="s">
        <v>41</v>
      </c>
      <c r="C280" t="s">
        <v>26</v>
      </c>
      <c r="D280" s="3">
        <v>455773</v>
      </c>
    </row>
    <row r="281" spans="1:4" x14ac:dyDescent="0.2">
      <c r="A281" t="s">
        <v>324</v>
      </c>
      <c r="B281" t="s">
        <v>18</v>
      </c>
      <c r="C281" t="s">
        <v>34</v>
      </c>
      <c r="D281" s="3">
        <v>320136</v>
      </c>
    </row>
    <row r="282" spans="1:4" x14ac:dyDescent="0.2">
      <c r="A282" t="s">
        <v>325</v>
      </c>
      <c r="B282" t="s">
        <v>29</v>
      </c>
      <c r="C282" t="s">
        <v>26</v>
      </c>
      <c r="D282" s="3">
        <v>508414</v>
      </c>
    </row>
    <row r="283" spans="1:4" x14ac:dyDescent="0.2">
      <c r="A283" t="s">
        <v>326</v>
      </c>
      <c r="B283" t="s">
        <v>41</v>
      </c>
      <c r="C283" t="s">
        <v>26</v>
      </c>
      <c r="D283" s="3">
        <v>462886</v>
      </c>
    </row>
    <row r="284" spans="1:4" x14ac:dyDescent="0.2">
      <c r="A284" t="s">
        <v>327</v>
      </c>
      <c r="B284" t="s">
        <v>41</v>
      </c>
      <c r="C284" t="s">
        <v>20</v>
      </c>
      <c r="D284" s="3">
        <v>70139</v>
      </c>
    </row>
    <row r="285" spans="1:4" x14ac:dyDescent="0.2">
      <c r="A285" t="s">
        <v>328</v>
      </c>
      <c r="B285" t="s">
        <v>29</v>
      </c>
      <c r="C285" t="s">
        <v>34</v>
      </c>
      <c r="D285" s="3">
        <v>105712</v>
      </c>
    </row>
    <row r="286" spans="1:4" x14ac:dyDescent="0.2">
      <c r="A286" t="s">
        <v>329</v>
      </c>
      <c r="B286" t="s">
        <v>41</v>
      </c>
      <c r="C286" t="s">
        <v>20</v>
      </c>
      <c r="D286" s="3">
        <v>381380</v>
      </c>
    </row>
    <row r="287" spans="1:4" x14ac:dyDescent="0.2">
      <c r="A287" t="s">
        <v>330</v>
      </c>
      <c r="B287" t="s">
        <v>41</v>
      </c>
      <c r="C287" t="s">
        <v>20</v>
      </c>
      <c r="D287" s="3">
        <v>654240</v>
      </c>
    </row>
    <row r="288" spans="1:4" x14ac:dyDescent="0.2">
      <c r="A288" t="s">
        <v>331</v>
      </c>
      <c r="B288" t="s">
        <v>18</v>
      </c>
      <c r="C288" t="s">
        <v>26</v>
      </c>
      <c r="D288" s="3">
        <v>768510</v>
      </c>
    </row>
    <row r="289" spans="1:4" x14ac:dyDescent="0.2">
      <c r="A289" t="s">
        <v>332</v>
      </c>
      <c r="B289" t="s">
        <v>24</v>
      </c>
      <c r="C289" t="s">
        <v>38</v>
      </c>
      <c r="D289" s="3">
        <v>101407</v>
      </c>
    </row>
    <row r="290" spans="1:4" x14ac:dyDescent="0.2">
      <c r="A290" t="s">
        <v>333</v>
      </c>
      <c r="B290" t="s">
        <v>24</v>
      </c>
      <c r="C290" t="s">
        <v>26</v>
      </c>
      <c r="D290" s="3">
        <v>883102</v>
      </c>
    </row>
    <row r="291" spans="1:4" x14ac:dyDescent="0.2">
      <c r="A291" t="s">
        <v>334</v>
      </c>
      <c r="B291" t="s">
        <v>18</v>
      </c>
      <c r="C291" t="s">
        <v>26</v>
      </c>
      <c r="D291" s="3">
        <v>369743</v>
      </c>
    </row>
    <row r="292" spans="1:4" x14ac:dyDescent="0.2">
      <c r="A292" t="s">
        <v>335</v>
      </c>
      <c r="B292" t="s">
        <v>18</v>
      </c>
      <c r="C292" t="s">
        <v>26</v>
      </c>
      <c r="D292" s="3">
        <v>174631</v>
      </c>
    </row>
    <row r="293" spans="1:4" x14ac:dyDescent="0.2">
      <c r="A293" t="s">
        <v>336</v>
      </c>
      <c r="B293" t="s">
        <v>41</v>
      </c>
      <c r="C293" t="s">
        <v>20</v>
      </c>
      <c r="D293" s="3">
        <v>516580</v>
      </c>
    </row>
    <row r="294" spans="1:4" x14ac:dyDescent="0.2">
      <c r="A294" t="s">
        <v>337</v>
      </c>
      <c r="B294" t="s">
        <v>24</v>
      </c>
      <c r="C294" t="s">
        <v>34</v>
      </c>
      <c r="D294" s="3">
        <v>408062</v>
      </c>
    </row>
    <row r="295" spans="1:4" x14ac:dyDescent="0.2">
      <c r="A295" t="s">
        <v>338</v>
      </c>
      <c r="B295" t="s">
        <v>18</v>
      </c>
      <c r="C295" t="s">
        <v>26</v>
      </c>
      <c r="D295" s="3">
        <v>51904</v>
      </c>
    </row>
    <row r="296" spans="1:4" x14ac:dyDescent="0.2">
      <c r="A296" t="s">
        <v>339</v>
      </c>
      <c r="B296" t="s">
        <v>24</v>
      </c>
      <c r="C296" t="s">
        <v>34</v>
      </c>
      <c r="D296" s="3">
        <v>736287</v>
      </c>
    </row>
    <row r="297" spans="1:4" x14ac:dyDescent="0.2">
      <c r="A297" t="s">
        <v>340</v>
      </c>
      <c r="B297" t="s">
        <v>18</v>
      </c>
      <c r="C297" t="s">
        <v>20</v>
      </c>
      <c r="D297" s="3">
        <v>512187</v>
      </c>
    </row>
    <row r="298" spans="1:4" x14ac:dyDescent="0.2">
      <c r="A298" t="s">
        <v>341</v>
      </c>
      <c r="B298" t="s">
        <v>41</v>
      </c>
      <c r="C298" t="s">
        <v>20</v>
      </c>
      <c r="D298" s="3">
        <v>105055</v>
      </c>
    </row>
    <row r="299" spans="1:4" x14ac:dyDescent="0.2">
      <c r="A299" t="s">
        <v>342</v>
      </c>
      <c r="B299" t="s">
        <v>41</v>
      </c>
      <c r="C299" t="s">
        <v>38</v>
      </c>
      <c r="D299" s="3">
        <v>380098</v>
      </c>
    </row>
    <row r="300" spans="1:4" x14ac:dyDescent="0.2">
      <c r="A300" t="s">
        <v>343</v>
      </c>
      <c r="B300" t="s">
        <v>41</v>
      </c>
      <c r="C300" t="s">
        <v>26</v>
      </c>
      <c r="D300" s="3">
        <v>829343</v>
      </c>
    </row>
    <row r="301" spans="1:4" x14ac:dyDescent="0.2">
      <c r="A301" t="s">
        <v>344</v>
      </c>
      <c r="B301" t="s">
        <v>18</v>
      </c>
      <c r="C301" t="s">
        <v>34</v>
      </c>
      <c r="D301" s="3">
        <v>388429</v>
      </c>
    </row>
    <row r="302" spans="1:4" x14ac:dyDescent="0.2">
      <c r="A302" t="s">
        <v>345</v>
      </c>
      <c r="B302" t="s">
        <v>24</v>
      </c>
      <c r="C302" t="s">
        <v>38</v>
      </c>
      <c r="D302" s="3">
        <v>347120</v>
      </c>
    </row>
    <row r="303" spans="1:4" x14ac:dyDescent="0.2">
      <c r="A303" t="s">
        <v>346</v>
      </c>
      <c r="B303" t="s">
        <v>41</v>
      </c>
      <c r="C303" t="s">
        <v>26</v>
      </c>
      <c r="D303" s="3">
        <v>528352</v>
      </c>
    </row>
    <row r="304" spans="1:4" x14ac:dyDescent="0.2">
      <c r="A304" t="s">
        <v>347</v>
      </c>
      <c r="B304" t="s">
        <v>41</v>
      </c>
      <c r="C304" t="s">
        <v>20</v>
      </c>
      <c r="D304" s="3">
        <v>689653</v>
      </c>
    </row>
    <row r="305" spans="1:4" x14ac:dyDescent="0.2">
      <c r="A305" t="s">
        <v>348</v>
      </c>
      <c r="B305" t="s">
        <v>41</v>
      </c>
      <c r="C305" t="s">
        <v>34</v>
      </c>
      <c r="D305" s="3">
        <v>320827</v>
      </c>
    </row>
    <row r="306" spans="1:4" x14ac:dyDescent="0.2">
      <c r="A306" t="s">
        <v>349</v>
      </c>
      <c r="B306" t="s">
        <v>18</v>
      </c>
      <c r="C306" t="s">
        <v>34</v>
      </c>
      <c r="D306" s="3">
        <v>139291</v>
      </c>
    </row>
    <row r="307" spans="1:4" x14ac:dyDescent="0.2">
      <c r="A307" t="s">
        <v>350</v>
      </c>
      <c r="B307" t="s">
        <v>29</v>
      </c>
      <c r="C307" t="s">
        <v>34</v>
      </c>
      <c r="D307" s="3">
        <v>242604</v>
      </c>
    </row>
    <row r="308" spans="1:4" x14ac:dyDescent="0.2">
      <c r="A308" t="s">
        <v>351</v>
      </c>
      <c r="B308" t="s">
        <v>18</v>
      </c>
      <c r="C308" t="s">
        <v>20</v>
      </c>
      <c r="D308" s="3">
        <v>27418</v>
      </c>
    </row>
    <row r="309" spans="1:4" x14ac:dyDescent="0.2">
      <c r="A309" t="s">
        <v>352</v>
      </c>
      <c r="B309" t="s">
        <v>41</v>
      </c>
      <c r="C309" t="s">
        <v>34</v>
      </c>
      <c r="D309" s="3">
        <v>24555</v>
      </c>
    </row>
    <row r="310" spans="1:4" x14ac:dyDescent="0.2">
      <c r="A310" t="s">
        <v>353</v>
      </c>
      <c r="B310" t="s">
        <v>41</v>
      </c>
      <c r="C310" t="s">
        <v>20</v>
      </c>
      <c r="D310" s="3">
        <v>72247</v>
      </c>
    </row>
    <row r="311" spans="1:4" x14ac:dyDescent="0.2">
      <c r="A311" t="s">
        <v>354</v>
      </c>
      <c r="B311" t="s">
        <v>41</v>
      </c>
      <c r="C311" t="s">
        <v>20</v>
      </c>
      <c r="D311" s="3">
        <v>357137</v>
      </c>
    </row>
    <row r="312" spans="1:4" x14ac:dyDescent="0.2">
      <c r="A312" t="s">
        <v>355</v>
      </c>
      <c r="B312" t="s">
        <v>24</v>
      </c>
      <c r="C312" t="s">
        <v>20</v>
      </c>
      <c r="D312" s="3">
        <v>298116</v>
      </c>
    </row>
    <row r="313" spans="1:4" x14ac:dyDescent="0.2">
      <c r="A313" t="s">
        <v>356</v>
      </c>
      <c r="B313" t="s">
        <v>29</v>
      </c>
      <c r="C313" t="s">
        <v>38</v>
      </c>
      <c r="D313" s="3">
        <v>674003</v>
      </c>
    </row>
    <row r="314" spans="1:4" x14ac:dyDescent="0.2">
      <c r="A314" t="s">
        <v>357</v>
      </c>
      <c r="B314" t="s">
        <v>18</v>
      </c>
      <c r="C314" t="s">
        <v>34</v>
      </c>
      <c r="D314" s="3">
        <v>323315</v>
      </c>
    </row>
    <row r="315" spans="1:4" x14ac:dyDescent="0.2">
      <c r="A315" t="s">
        <v>358</v>
      </c>
      <c r="B315" t="s">
        <v>24</v>
      </c>
      <c r="C315" t="s">
        <v>26</v>
      </c>
      <c r="D315" s="3">
        <v>392665</v>
      </c>
    </row>
    <row r="316" spans="1:4" x14ac:dyDescent="0.2">
      <c r="A316" t="s">
        <v>359</v>
      </c>
      <c r="B316" t="s">
        <v>41</v>
      </c>
      <c r="C316" t="s">
        <v>20</v>
      </c>
      <c r="D316" s="3">
        <v>174463</v>
      </c>
    </row>
    <row r="317" spans="1:4" x14ac:dyDescent="0.2">
      <c r="A317" t="s">
        <v>360</v>
      </c>
      <c r="B317" t="s">
        <v>18</v>
      </c>
      <c r="C317" t="s">
        <v>38</v>
      </c>
      <c r="D317" s="3">
        <v>425517</v>
      </c>
    </row>
    <row r="318" spans="1:4" x14ac:dyDescent="0.2">
      <c r="A318" t="s">
        <v>361</v>
      </c>
      <c r="B318" t="s">
        <v>29</v>
      </c>
      <c r="C318" t="s">
        <v>20</v>
      </c>
      <c r="D318" s="3">
        <v>519312</v>
      </c>
    </row>
    <row r="319" spans="1:4" x14ac:dyDescent="0.2">
      <c r="A319" t="s">
        <v>362</v>
      </c>
      <c r="B319" t="s">
        <v>41</v>
      </c>
      <c r="C319" t="s">
        <v>26</v>
      </c>
      <c r="D319" s="3">
        <v>34516</v>
      </c>
    </row>
    <row r="320" spans="1:4" x14ac:dyDescent="0.2">
      <c r="A320" t="s">
        <v>363</v>
      </c>
      <c r="B320" t="s">
        <v>18</v>
      </c>
      <c r="C320" t="s">
        <v>20</v>
      </c>
      <c r="D320" s="3">
        <v>800291</v>
      </c>
    </row>
    <row r="321" spans="1:4" x14ac:dyDescent="0.2">
      <c r="A321" t="s">
        <v>364</v>
      </c>
      <c r="B321" t="s">
        <v>18</v>
      </c>
      <c r="C321" t="s">
        <v>20</v>
      </c>
      <c r="D321" s="3">
        <v>157939</v>
      </c>
    </row>
    <row r="322" spans="1:4" x14ac:dyDescent="0.2">
      <c r="A322" t="s">
        <v>365</v>
      </c>
      <c r="B322" t="s">
        <v>18</v>
      </c>
      <c r="C322" t="s">
        <v>26</v>
      </c>
      <c r="D322" s="3">
        <v>518074</v>
      </c>
    </row>
    <row r="323" spans="1:4" x14ac:dyDescent="0.2">
      <c r="A323" t="s">
        <v>366</v>
      </c>
      <c r="B323" t="s">
        <v>18</v>
      </c>
      <c r="C323" t="s">
        <v>38</v>
      </c>
      <c r="D323" s="3">
        <v>106861</v>
      </c>
    </row>
    <row r="324" spans="1:4" x14ac:dyDescent="0.2">
      <c r="A324" t="s">
        <v>367</v>
      </c>
      <c r="B324" t="s">
        <v>18</v>
      </c>
      <c r="C324" t="s">
        <v>38</v>
      </c>
      <c r="D324" s="3">
        <v>115229</v>
      </c>
    </row>
    <row r="325" spans="1:4" x14ac:dyDescent="0.2">
      <c r="A325" t="s">
        <v>368</v>
      </c>
      <c r="B325" t="s">
        <v>18</v>
      </c>
      <c r="C325" t="s">
        <v>34</v>
      </c>
      <c r="D325" s="3">
        <v>514831</v>
      </c>
    </row>
    <row r="326" spans="1:4" x14ac:dyDescent="0.2">
      <c r="A326" t="s">
        <v>369</v>
      </c>
      <c r="B326" t="s">
        <v>41</v>
      </c>
      <c r="C326" t="s">
        <v>34</v>
      </c>
      <c r="D326" s="3">
        <v>530068</v>
      </c>
    </row>
    <row r="327" spans="1:4" x14ac:dyDescent="0.2">
      <c r="A327" t="s">
        <v>370</v>
      </c>
      <c r="B327" t="s">
        <v>29</v>
      </c>
      <c r="C327" t="s">
        <v>34</v>
      </c>
      <c r="D327" s="3">
        <v>236985</v>
      </c>
    </row>
    <row r="328" spans="1:4" x14ac:dyDescent="0.2">
      <c r="A328" t="s">
        <v>371</v>
      </c>
      <c r="B328" t="s">
        <v>41</v>
      </c>
      <c r="C328" t="s">
        <v>26</v>
      </c>
      <c r="D328" s="3">
        <v>868062</v>
      </c>
    </row>
    <row r="329" spans="1:4" x14ac:dyDescent="0.2">
      <c r="A329" t="s">
        <v>372</v>
      </c>
      <c r="B329" t="s">
        <v>41</v>
      </c>
      <c r="C329" t="s">
        <v>38</v>
      </c>
      <c r="D329" s="3">
        <v>15118</v>
      </c>
    </row>
    <row r="330" spans="1:4" x14ac:dyDescent="0.2">
      <c r="A330" t="s">
        <v>373</v>
      </c>
      <c r="B330" t="s">
        <v>41</v>
      </c>
      <c r="C330" t="s">
        <v>26</v>
      </c>
      <c r="D330" s="3">
        <v>287759</v>
      </c>
    </row>
    <row r="331" spans="1:4" x14ac:dyDescent="0.2">
      <c r="A331" t="s">
        <v>374</v>
      </c>
      <c r="B331" t="s">
        <v>24</v>
      </c>
      <c r="C331" t="s">
        <v>20</v>
      </c>
      <c r="D331" s="3">
        <v>715324</v>
      </c>
    </row>
    <row r="332" spans="1:4" x14ac:dyDescent="0.2">
      <c r="A332" t="s">
        <v>375</v>
      </c>
      <c r="B332" t="s">
        <v>18</v>
      </c>
      <c r="C332" t="s">
        <v>34</v>
      </c>
      <c r="D332" s="3">
        <v>728246</v>
      </c>
    </row>
    <row r="333" spans="1:4" x14ac:dyDescent="0.2">
      <c r="A333" t="s">
        <v>376</v>
      </c>
      <c r="B333" t="s">
        <v>41</v>
      </c>
      <c r="C333" t="s">
        <v>38</v>
      </c>
      <c r="D333" s="3">
        <v>289536</v>
      </c>
    </row>
    <row r="334" spans="1:4" x14ac:dyDescent="0.2">
      <c r="A334" t="s">
        <v>377</v>
      </c>
      <c r="B334" t="s">
        <v>24</v>
      </c>
      <c r="C334" t="s">
        <v>38</v>
      </c>
      <c r="D334" s="3">
        <v>501538</v>
      </c>
    </row>
    <row r="335" spans="1:4" x14ac:dyDescent="0.2">
      <c r="A335" t="s">
        <v>378</v>
      </c>
      <c r="B335" t="s">
        <v>18</v>
      </c>
      <c r="C335" t="s">
        <v>38</v>
      </c>
      <c r="D335" s="3">
        <v>127555</v>
      </c>
    </row>
    <row r="336" spans="1:4" x14ac:dyDescent="0.2">
      <c r="A336" t="s">
        <v>379</v>
      </c>
      <c r="B336" t="s">
        <v>18</v>
      </c>
      <c r="C336" t="s">
        <v>38</v>
      </c>
      <c r="D336" s="3">
        <v>464313</v>
      </c>
    </row>
    <row r="337" spans="1:4" x14ac:dyDescent="0.2">
      <c r="A337" t="s">
        <v>380</v>
      </c>
      <c r="B337" t="s">
        <v>41</v>
      </c>
      <c r="C337" t="s">
        <v>34</v>
      </c>
      <c r="D337" s="3">
        <v>499794</v>
      </c>
    </row>
    <row r="338" spans="1:4" x14ac:dyDescent="0.2">
      <c r="A338" t="s">
        <v>381</v>
      </c>
      <c r="B338" t="s">
        <v>24</v>
      </c>
      <c r="C338" t="s">
        <v>20</v>
      </c>
      <c r="D338" s="3">
        <v>734615</v>
      </c>
    </row>
    <row r="339" spans="1:4" x14ac:dyDescent="0.2">
      <c r="A339" t="s">
        <v>382</v>
      </c>
      <c r="B339" t="s">
        <v>24</v>
      </c>
      <c r="C339" t="s">
        <v>38</v>
      </c>
      <c r="D339" s="3">
        <v>648065</v>
      </c>
    </row>
    <row r="340" spans="1:4" x14ac:dyDescent="0.2">
      <c r="A340" t="s">
        <v>383</v>
      </c>
      <c r="B340" t="s">
        <v>41</v>
      </c>
      <c r="C340" t="s">
        <v>34</v>
      </c>
      <c r="D340" s="3">
        <v>629013</v>
      </c>
    </row>
    <row r="341" spans="1:4" x14ac:dyDescent="0.2">
      <c r="A341" t="s">
        <v>384</v>
      </c>
      <c r="B341" t="s">
        <v>41</v>
      </c>
      <c r="C341" t="s">
        <v>20</v>
      </c>
      <c r="D341" s="3">
        <v>296801</v>
      </c>
    </row>
    <row r="342" spans="1:4" x14ac:dyDescent="0.2">
      <c r="A342" t="s">
        <v>385</v>
      </c>
      <c r="B342" t="s">
        <v>18</v>
      </c>
      <c r="C342" t="s">
        <v>20</v>
      </c>
      <c r="D342" s="3">
        <v>787683</v>
      </c>
    </row>
    <row r="343" spans="1:4" x14ac:dyDescent="0.2">
      <c r="A343" t="s">
        <v>386</v>
      </c>
      <c r="B343" t="s">
        <v>41</v>
      </c>
      <c r="C343" t="s">
        <v>38</v>
      </c>
      <c r="D343" s="3">
        <v>618280</v>
      </c>
    </row>
    <row r="344" spans="1:4" x14ac:dyDescent="0.2">
      <c r="A344" t="s">
        <v>387</v>
      </c>
      <c r="B344" t="s">
        <v>41</v>
      </c>
      <c r="C344" t="s">
        <v>34</v>
      </c>
      <c r="D344" s="3">
        <v>826551</v>
      </c>
    </row>
    <row r="345" spans="1:4" x14ac:dyDescent="0.2">
      <c r="A345" t="s">
        <v>388</v>
      </c>
      <c r="B345" t="s">
        <v>41</v>
      </c>
      <c r="C345" t="s">
        <v>26</v>
      </c>
      <c r="D345" s="3">
        <v>560647</v>
      </c>
    </row>
    <row r="346" spans="1:4" x14ac:dyDescent="0.2">
      <c r="A346" t="s">
        <v>389</v>
      </c>
      <c r="B346" t="s">
        <v>41</v>
      </c>
      <c r="C346" t="s">
        <v>34</v>
      </c>
      <c r="D346" s="3">
        <v>587698</v>
      </c>
    </row>
    <row r="347" spans="1:4" x14ac:dyDescent="0.2">
      <c r="A347" t="s">
        <v>390</v>
      </c>
      <c r="B347" t="s">
        <v>41</v>
      </c>
      <c r="C347" t="s">
        <v>38</v>
      </c>
      <c r="D347" s="3">
        <v>30826</v>
      </c>
    </row>
    <row r="348" spans="1:4" x14ac:dyDescent="0.2">
      <c r="A348" t="s">
        <v>391</v>
      </c>
      <c r="B348" t="s">
        <v>18</v>
      </c>
      <c r="C348" t="s">
        <v>20</v>
      </c>
      <c r="D348" s="3">
        <v>811643</v>
      </c>
    </row>
    <row r="349" spans="1:4" x14ac:dyDescent="0.2">
      <c r="A349" t="s">
        <v>392</v>
      </c>
      <c r="B349" t="s">
        <v>29</v>
      </c>
      <c r="C349" t="s">
        <v>26</v>
      </c>
      <c r="D349" s="3">
        <v>867593</v>
      </c>
    </row>
    <row r="350" spans="1:4" x14ac:dyDescent="0.2">
      <c r="A350" t="s">
        <v>393</v>
      </c>
      <c r="B350" t="s">
        <v>41</v>
      </c>
      <c r="C350" t="s">
        <v>34</v>
      </c>
      <c r="D350" s="3">
        <v>223126</v>
      </c>
    </row>
    <row r="351" spans="1:4" x14ac:dyDescent="0.2">
      <c r="A351" t="s">
        <v>394</v>
      </c>
      <c r="B351" t="s">
        <v>41</v>
      </c>
      <c r="C351" t="s">
        <v>34</v>
      </c>
      <c r="D351" s="3">
        <v>691214</v>
      </c>
    </row>
    <row r="352" spans="1:4" x14ac:dyDescent="0.2">
      <c r="A352" t="s">
        <v>395</v>
      </c>
      <c r="B352" t="s">
        <v>18</v>
      </c>
      <c r="C352" t="s">
        <v>38</v>
      </c>
      <c r="D352" s="3">
        <v>221000</v>
      </c>
    </row>
    <row r="353" spans="1:4" x14ac:dyDescent="0.2">
      <c r="A353" t="s">
        <v>396</v>
      </c>
      <c r="B353" t="s">
        <v>41</v>
      </c>
      <c r="C353" t="s">
        <v>34</v>
      </c>
      <c r="D353" s="3">
        <v>352596</v>
      </c>
    </row>
    <row r="354" spans="1:4" x14ac:dyDescent="0.2">
      <c r="A354" t="s">
        <v>397</v>
      </c>
      <c r="B354" t="s">
        <v>18</v>
      </c>
      <c r="C354" t="s">
        <v>38</v>
      </c>
      <c r="D354" s="3">
        <v>63110</v>
      </c>
    </row>
    <row r="355" spans="1:4" x14ac:dyDescent="0.2">
      <c r="A355" t="s">
        <v>398</v>
      </c>
      <c r="B355" t="s">
        <v>18</v>
      </c>
      <c r="C355" t="s">
        <v>34</v>
      </c>
      <c r="D355" s="3">
        <v>119157</v>
      </c>
    </row>
    <row r="356" spans="1:4" x14ac:dyDescent="0.2">
      <c r="A356" t="s">
        <v>399</v>
      </c>
      <c r="B356" t="s">
        <v>41</v>
      </c>
      <c r="C356" t="s">
        <v>34</v>
      </c>
      <c r="D356" s="3">
        <v>374064</v>
      </c>
    </row>
    <row r="357" spans="1:4" x14ac:dyDescent="0.2">
      <c r="A357" t="s">
        <v>400</v>
      </c>
      <c r="B357" t="s">
        <v>41</v>
      </c>
      <c r="C357" t="s">
        <v>38</v>
      </c>
      <c r="D357" s="3">
        <v>445419</v>
      </c>
    </row>
    <row r="358" spans="1:4" x14ac:dyDescent="0.2">
      <c r="A358" t="s">
        <v>401</v>
      </c>
      <c r="B358" t="s">
        <v>24</v>
      </c>
      <c r="C358" t="s">
        <v>38</v>
      </c>
      <c r="D358" s="3">
        <v>822295</v>
      </c>
    </row>
    <row r="359" spans="1:4" x14ac:dyDescent="0.2">
      <c r="A359" t="s">
        <v>402</v>
      </c>
      <c r="B359" t="s">
        <v>18</v>
      </c>
      <c r="C359" t="s">
        <v>20</v>
      </c>
      <c r="D359" s="3">
        <v>541682</v>
      </c>
    </row>
    <row r="360" spans="1:4" x14ac:dyDescent="0.2">
      <c r="A360" t="s">
        <v>403</v>
      </c>
      <c r="B360" t="s">
        <v>29</v>
      </c>
      <c r="C360" t="s">
        <v>20</v>
      </c>
      <c r="D360" s="3">
        <v>395677</v>
      </c>
    </row>
    <row r="361" spans="1:4" x14ac:dyDescent="0.2">
      <c r="A361" t="s">
        <v>404</v>
      </c>
      <c r="B361" t="s">
        <v>41</v>
      </c>
      <c r="C361" t="s">
        <v>26</v>
      </c>
      <c r="D361" s="3">
        <v>807938</v>
      </c>
    </row>
    <row r="362" spans="1:4" x14ac:dyDescent="0.2">
      <c r="A362" t="s">
        <v>405</v>
      </c>
      <c r="B362" t="s">
        <v>29</v>
      </c>
      <c r="C362" t="s">
        <v>34</v>
      </c>
      <c r="D362" s="3">
        <v>898363</v>
      </c>
    </row>
    <row r="363" spans="1:4" x14ac:dyDescent="0.2">
      <c r="A363" t="s">
        <v>406</v>
      </c>
      <c r="B363" t="s">
        <v>24</v>
      </c>
      <c r="C363" t="s">
        <v>38</v>
      </c>
      <c r="D363" s="3">
        <v>847551</v>
      </c>
    </row>
    <row r="364" spans="1:4" x14ac:dyDescent="0.2">
      <c r="A364" t="s">
        <v>407</v>
      </c>
      <c r="B364" t="s">
        <v>41</v>
      </c>
      <c r="C364" t="s">
        <v>20</v>
      </c>
      <c r="D364" s="3">
        <v>657820</v>
      </c>
    </row>
    <row r="365" spans="1:4" x14ac:dyDescent="0.2">
      <c r="A365" t="s">
        <v>408</v>
      </c>
      <c r="B365" t="s">
        <v>29</v>
      </c>
      <c r="C365" t="s">
        <v>26</v>
      </c>
      <c r="D365" s="3">
        <v>107825</v>
      </c>
    </row>
    <row r="366" spans="1:4" x14ac:dyDescent="0.2">
      <c r="A366" t="s">
        <v>409</v>
      </c>
      <c r="B366" t="s">
        <v>29</v>
      </c>
      <c r="C366" t="s">
        <v>38</v>
      </c>
      <c r="D366" s="3">
        <v>215955</v>
      </c>
    </row>
    <row r="367" spans="1:4" x14ac:dyDescent="0.2">
      <c r="A367" t="s">
        <v>410</v>
      </c>
      <c r="B367" t="s">
        <v>29</v>
      </c>
      <c r="C367" t="s">
        <v>26</v>
      </c>
      <c r="D367" s="3">
        <v>852496</v>
      </c>
    </row>
    <row r="368" spans="1:4" x14ac:dyDescent="0.2">
      <c r="A368" t="s">
        <v>411</v>
      </c>
      <c r="B368" t="s">
        <v>18</v>
      </c>
      <c r="C368" t="s">
        <v>26</v>
      </c>
      <c r="D368" s="3">
        <v>442003</v>
      </c>
    </row>
    <row r="369" spans="1:4" x14ac:dyDescent="0.2">
      <c r="A369" t="s">
        <v>412</v>
      </c>
      <c r="B369" t="s">
        <v>18</v>
      </c>
      <c r="C369" t="s">
        <v>26</v>
      </c>
      <c r="D369" s="3">
        <v>842965</v>
      </c>
    </row>
    <row r="370" spans="1:4" x14ac:dyDescent="0.2">
      <c r="A370" t="s">
        <v>413</v>
      </c>
      <c r="B370" t="s">
        <v>24</v>
      </c>
      <c r="C370" t="s">
        <v>34</v>
      </c>
      <c r="D370" s="3">
        <v>157876</v>
      </c>
    </row>
    <row r="371" spans="1:4" x14ac:dyDescent="0.2">
      <c r="A371" t="s">
        <v>414</v>
      </c>
      <c r="B371" t="s">
        <v>18</v>
      </c>
      <c r="C371" t="s">
        <v>20</v>
      </c>
      <c r="D371" s="3">
        <v>226480</v>
      </c>
    </row>
    <row r="372" spans="1:4" x14ac:dyDescent="0.2">
      <c r="A372" t="s">
        <v>415</v>
      </c>
      <c r="B372" t="s">
        <v>41</v>
      </c>
      <c r="C372" t="s">
        <v>20</v>
      </c>
      <c r="D372" s="3">
        <v>23873</v>
      </c>
    </row>
    <row r="373" spans="1:4" x14ac:dyDescent="0.2">
      <c r="A373" t="s">
        <v>416</v>
      </c>
      <c r="B373" t="s">
        <v>24</v>
      </c>
      <c r="C373" t="s">
        <v>26</v>
      </c>
      <c r="D373" s="3">
        <v>572826</v>
      </c>
    </row>
    <row r="374" spans="1:4" x14ac:dyDescent="0.2">
      <c r="A374" t="s">
        <v>417</v>
      </c>
      <c r="B374" t="s">
        <v>18</v>
      </c>
      <c r="C374" t="s">
        <v>20</v>
      </c>
      <c r="D374" s="3">
        <v>823627</v>
      </c>
    </row>
    <row r="375" spans="1:4" x14ac:dyDescent="0.2">
      <c r="A375" t="s">
        <v>418</v>
      </c>
      <c r="B375" t="s">
        <v>41</v>
      </c>
      <c r="C375" t="s">
        <v>34</v>
      </c>
      <c r="D375" s="3">
        <v>511745</v>
      </c>
    </row>
    <row r="376" spans="1:4" x14ac:dyDescent="0.2">
      <c r="A376" t="s">
        <v>419</v>
      </c>
      <c r="B376" t="s">
        <v>41</v>
      </c>
      <c r="C376" t="s">
        <v>26</v>
      </c>
      <c r="D376" s="3">
        <v>837310</v>
      </c>
    </row>
    <row r="377" spans="1:4" x14ac:dyDescent="0.2">
      <c r="A377" t="s">
        <v>420</v>
      </c>
      <c r="B377" t="s">
        <v>18</v>
      </c>
      <c r="C377" t="s">
        <v>34</v>
      </c>
      <c r="D377" s="3">
        <v>845053</v>
      </c>
    </row>
    <row r="378" spans="1:4" x14ac:dyDescent="0.2">
      <c r="A378" t="s">
        <v>421</v>
      </c>
      <c r="B378" t="s">
        <v>18</v>
      </c>
      <c r="C378" t="s">
        <v>20</v>
      </c>
      <c r="D378" s="3">
        <v>190031</v>
      </c>
    </row>
    <row r="379" spans="1:4" x14ac:dyDescent="0.2">
      <c r="A379" t="s">
        <v>422</v>
      </c>
      <c r="B379" t="s">
        <v>41</v>
      </c>
      <c r="C379" t="s">
        <v>26</v>
      </c>
      <c r="D379" s="3">
        <v>770327</v>
      </c>
    </row>
    <row r="380" spans="1:4" x14ac:dyDescent="0.2">
      <c r="A380" t="s">
        <v>423</v>
      </c>
      <c r="B380" t="s">
        <v>41</v>
      </c>
      <c r="C380" t="s">
        <v>38</v>
      </c>
      <c r="D380" s="3">
        <v>143337</v>
      </c>
    </row>
    <row r="381" spans="1:4" x14ac:dyDescent="0.2">
      <c r="A381" t="s">
        <v>424</v>
      </c>
      <c r="B381" t="s">
        <v>41</v>
      </c>
      <c r="C381" t="s">
        <v>34</v>
      </c>
      <c r="D381" s="3">
        <v>411813</v>
      </c>
    </row>
    <row r="382" spans="1:4" x14ac:dyDescent="0.2">
      <c r="A382" t="s">
        <v>425</v>
      </c>
      <c r="B382" t="s">
        <v>24</v>
      </c>
      <c r="C382" t="s">
        <v>20</v>
      </c>
      <c r="D382" s="3">
        <v>694782</v>
      </c>
    </row>
    <row r="383" spans="1:4" x14ac:dyDescent="0.2">
      <c r="A383" t="s">
        <v>426</v>
      </c>
      <c r="B383" t="s">
        <v>24</v>
      </c>
      <c r="C383" t="s">
        <v>34</v>
      </c>
      <c r="D383" s="3">
        <v>227289</v>
      </c>
    </row>
    <row r="384" spans="1:4" x14ac:dyDescent="0.2">
      <c r="A384" t="s">
        <v>427</v>
      </c>
      <c r="B384" t="s">
        <v>18</v>
      </c>
      <c r="C384" t="s">
        <v>34</v>
      </c>
      <c r="D384" s="3">
        <v>231185</v>
      </c>
    </row>
    <row r="385" spans="1:4" x14ac:dyDescent="0.2">
      <c r="A385" t="s">
        <v>428</v>
      </c>
      <c r="B385" t="s">
        <v>18</v>
      </c>
      <c r="C385" t="s">
        <v>34</v>
      </c>
      <c r="D385" s="3">
        <v>265482</v>
      </c>
    </row>
    <row r="386" spans="1:4" x14ac:dyDescent="0.2">
      <c r="A386" t="s">
        <v>429</v>
      </c>
      <c r="B386" t="s">
        <v>18</v>
      </c>
      <c r="C386" t="s">
        <v>38</v>
      </c>
      <c r="D386" s="3">
        <v>423608</v>
      </c>
    </row>
    <row r="387" spans="1:4" x14ac:dyDescent="0.2">
      <c r="A387" t="s">
        <v>430</v>
      </c>
      <c r="B387" t="s">
        <v>29</v>
      </c>
      <c r="C387" t="s">
        <v>20</v>
      </c>
      <c r="D387" s="3">
        <v>147629</v>
      </c>
    </row>
    <row r="388" spans="1:4" x14ac:dyDescent="0.2">
      <c r="A388" t="s">
        <v>431</v>
      </c>
      <c r="B388" t="s">
        <v>41</v>
      </c>
      <c r="C388" t="s">
        <v>38</v>
      </c>
      <c r="D388" s="3">
        <v>151329</v>
      </c>
    </row>
    <row r="389" spans="1:4" x14ac:dyDescent="0.2">
      <c r="A389" t="s">
        <v>432</v>
      </c>
      <c r="B389" t="s">
        <v>41</v>
      </c>
      <c r="C389" t="s">
        <v>20</v>
      </c>
      <c r="D389" s="3">
        <v>201714</v>
      </c>
    </row>
    <row r="390" spans="1:4" x14ac:dyDescent="0.2">
      <c r="A390" t="s">
        <v>433</v>
      </c>
      <c r="B390" t="s">
        <v>29</v>
      </c>
      <c r="C390" t="s">
        <v>38</v>
      </c>
      <c r="D390" s="3">
        <v>567144</v>
      </c>
    </row>
    <row r="391" spans="1:4" x14ac:dyDescent="0.2">
      <c r="A391" t="s">
        <v>434</v>
      </c>
      <c r="B391" t="s">
        <v>29</v>
      </c>
      <c r="C391" t="s">
        <v>34</v>
      </c>
      <c r="D391" s="3">
        <v>228693</v>
      </c>
    </row>
    <row r="392" spans="1:4" x14ac:dyDescent="0.2">
      <c r="A392" t="s">
        <v>435</v>
      </c>
      <c r="B392" t="s">
        <v>24</v>
      </c>
      <c r="C392" t="s">
        <v>34</v>
      </c>
      <c r="D392" s="3">
        <v>808705</v>
      </c>
    </row>
    <row r="393" spans="1:4" x14ac:dyDescent="0.2">
      <c r="A393" t="s">
        <v>436</v>
      </c>
      <c r="B393" t="s">
        <v>24</v>
      </c>
      <c r="C393" t="s">
        <v>26</v>
      </c>
      <c r="D393" s="3">
        <v>425940</v>
      </c>
    </row>
    <row r="394" spans="1:4" x14ac:dyDescent="0.2">
      <c r="A394" t="s">
        <v>437</v>
      </c>
      <c r="B394" t="s">
        <v>41</v>
      </c>
      <c r="C394" t="s">
        <v>34</v>
      </c>
      <c r="D394" s="3">
        <v>358283</v>
      </c>
    </row>
    <row r="395" spans="1:4" x14ac:dyDescent="0.2">
      <c r="A395" t="s">
        <v>438</v>
      </c>
      <c r="B395" t="s">
        <v>29</v>
      </c>
      <c r="C395" t="s">
        <v>34</v>
      </c>
      <c r="D395" s="3">
        <v>24441</v>
      </c>
    </row>
    <row r="396" spans="1:4" x14ac:dyDescent="0.2">
      <c r="A396" t="s">
        <v>439</v>
      </c>
      <c r="B396" t="s">
        <v>29</v>
      </c>
      <c r="C396" t="s">
        <v>20</v>
      </c>
      <c r="D396" s="3">
        <v>436925</v>
      </c>
    </row>
    <row r="397" spans="1:4" x14ac:dyDescent="0.2">
      <c r="A397" t="s">
        <v>440</v>
      </c>
      <c r="B397" t="s">
        <v>41</v>
      </c>
      <c r="C397" t="s">
        <v>38</v>
      </c>
      <c r="D397" s="3">
        <v>147833</v>
      </c>
    </row>
    <row r="398" spans="1:4" x14ac:dyDescent="0.2">
      <c r="A398" t="s">
        <v>441</v>
      </c>
      <c r="B398" t="s">
        <v>29</v>
      </c>
      <c r="C398" t="s">
        <v>38</v>
      </c>
      <c r="D398" s="3">
        <v>546165</v>
      </c>
    </row>
    <row r="399" spans="1:4" x14ac:dyDescent="0.2">
      <c r="A399" t="s">
        <v>442</v>
      </c>
      <c r="B399" t="s">
        <v>18</v>
      </c>
      <c r="C399" t="s">
        <v>34</v>
      </c>
      <c r="D399" s="3">
        <v>465839</v>
      </c>
    </row>
    <row r="400" spans="1:4" x14ac:dyDescent="0.2">
      <c r="A400" t="s">
        <v>443</v>
      </c>
      <c r="B400" t="s">
        <v>18</v>
      </c>
      <c r="C400" t="s">
        <v>34</v>
      </c>
      <c r="D400" s="3">
        <v>316334</v>
      </c>
    </row>
    <row r="401" spans="1:4" x14ac:dyDescent="0.2">
      <c r="A401" t="s">
        <v>444</v>
      </c>
      <c r="B401" t="s">
        <v>41</v>
      </c>
      <c r="C401" t="s">
        <v>20</v>
      </c>
      <c r="D401" s="3">
        <v>256795</v>
      </c>
    </row>
    <row r="402" spans="1:4" x14ac:dyDescent="0.2">
      <c r="A402" t="s">
        <v>445</v>
      </c>
      <c r="B402" t="s">
        <v>29</v>
      </c>
      <c r="C402" t="s">
        <v>20</v>
      </c>
      <c r="D402" s="3">
        <v>198942</v>
      </c>
    </row>
    <row r="403" spans="1:4" x14ac:dyDescent="0.2">
      <c r="A403" t="s">
        <v>446</v>
      </c>
      <c r="B403" t="s">
        <v>24</v>
      </c>
      <c r="C403" t="s">
        <v>20</v>
      </c>
      <c r="D403" s="3">
        <v>764498</v>
      </c>
    </row>
    <row r="404" spans="1:4" x14ac:dyDescent="0.2">
      <c r="A404" t="s">
        <v>447</v>
      </c>
      <c r="B404" t="s">
        <v>18</v>
      </c>
      <c r="C404" t="s">
        <v>20</v>
      </c>
      <c r="D404" s="3">
        <v>621346</v>
      </c>
    </row>
    <row r="405" spans="1:4" x14ac:dyDescent="0.2">
      <c r="A405" t="s">
        <v>448</v>
      </c>
      <c r="B405" t="s">
        <v>18</v>
      </c>
      <c r="C405" t="s">
        <v>34</v>
      </c>
      <c r="D405" s="3">
        <v>628695</v>
      </c>
    </row>
    <row r="406" spans="1:4" x14ac:dyDescent="0.2">
      <c r="A406" t="s">
        <v>449</v>
      </c>
      <c r="B406" t="s">
        <v>18</v>
      </c>
      <c r="C406" t="s">
        <v>20</v>
      </c>
      <c r="D406" s="3">
        <v>316188</v>
      </c>
    </row>
    <row r="407" spans="1:4" x14ac:dyDescent="0.2">
      <c r="A407" t="s">
        <v>450</v>
      </c>
      <c r="B407" t="s">
        <v>18</v>
      </c>
      <c r="C407" t="s">
        <v>26</v>
      </c>
      <c r="D407" s="3">
        <v>519619</v>
      </c>
    </row>
    <row r="408" spans="1:4" x14ac:dyDescent="0.2">
      <c r="A408" t="s">
        <v>451</v>
      </c>
      <c r="B408" t="s">
        <v>29</v>
      </c>
      <c r="C408" t="s">
        <v>26</v>
      </c>
      <c r="D408" s="3">
        <v>136861</v>
      </c>
    </row>
    <row r="409" spans="1:4" x14ac:dyDescent="0.2">
      <c r="A409" t="s">
        <v>452</v>
      </c>
      <c r="B409" t="s">
        <v>41</v>
      </c>
      <c r="C409" t="s">
        <v>26</v>
      </c>
      <c r="D409" s="3">
        <v>314180</v>
      </c>
    </row>
    <row r="410" spans="1:4" x14ac:dyDescent="0.2">
      <c r="A410" t="s">
        <v>453</v>
      </c>
      <c r="B410" t="s">
        <v>29</v>
      </c>
      <c r="C410" t="s">
        <v>26</v>
      </c>
      <c r="D410" s="3">
        <v>797995</v>
      </c>
    </row>
    <row r="411" spans="1:4" x14ac:dyDescent="0.2">
      <c r="A411" t="s">
        <v>454</v>
      </c>
      <c r="B411" t="s">
        <v>41</v>
      </c>
      <c r="C411" t="s">
        <v>34</v>
      </c>
      <c r="D411" s="3">
        <v>671109</v>
      </c>
    </row>
    <row r="412" spans="1:4" x14ac:dyDescent="0.2">
      <c r="A412" t="s">
        <v>455</v>
      </c>
      <c r="B412" t="s">
        <v>18</v>
      </c>
      <c r="C412" t="s">
        <v>38</v>
      </c>
      <c r="D412" s="3">
        <v>516527</v>
      </c>
    </row>
    <row r="413" spans="1:4" x14ac:dyDescent="0.2">
      <c r="A413" t="s">
        <v>456</v>
      </c>
      <c r="B413" t="s">
        <v>24</v>
      </c>
      <c r="C413" t="s">
        <v>34</v>
      </c>
      <c r="D413" s="3">
        <v>647326</v>
      </c>
    </row>
    <row r="414" spans="1:4" x14ac:dyDescent="0.2">
      <c r="A414" t="s">
        <v>457</v>
      </c>
      <c r="B414" t="s">
        <v>18</v>
      </c>
      <c r="C414" t="s">
        <v>34</v>
      </c>
      <c r="D414" s="3">
        <v>113325</v>
      </c>
    </row>
    <row r="415" spans="1:4" x14ac:dyDescent="0.2">
      <c r="A415" t="s">
        <v>458</v>
      </c>
      <c r="B415" t="s">
        <v>41</v>
      </c>
      <c r="C415" t="s">
        <v>34</v>
      </c>
      <c r="D415" s="3">
        <v>668615</v>
      </c>
    </row>
    <row r="416" spans="1:4" x14ac:dyDescent="0.2">
      <c r="A416" t="s">
        <v>459</v>
      </c>
      <c r="B416" t="s">
        <v>18</v>
      </c>
      <c r="C416" t="s">
        <v>38</v>
      </c>
      <c r="D416" s="3">
        <v>553652</v>
      </c>
    </row>
    <row r="417" spans="1:4" x14ac:dyDescent="0.2">
      <c r="A417" t="s">
        <v>460</v>
      </c>
      <c r="B417" t="s">
        <v>24</v>
      </c>
      <c r="C417" t="s">
        <v>34</v>
      </c>
      <c r="D417" s="3">
        <v>398480</v>
      </c>
    </row>
    <row r="418" spans="1:4" x14ac:dyDescent="0.2">
      <c r="A418" t="s">
        <v>461</v>
      </c>
      <c r="B418" t="s">
        <v>24</v>
      </c>
      <c r="C418" t="s">
        <v>26</v>
      </c>
      <c r="D418" s="3">
        <v>148599</v>
      </c>
    </row>
    <row r="419" spans="1:4" x14ac:dyDescent="0.2">
      <c r="A419" t="s">
        <v>462</v>
      </c>
      <c r="B419" t="s">
        <v>29</v>
      </c>
      <c r="C419" t="s">
        <v>26</v>
      </c>
      <c r="D419" s="3">
        <v>102675</v>
      </c>
    </row>
    <row r="420" spans="1:4" x14ac:dyDescent="0.2">
      <c r="A420" t="s">
        <v>463</v>
      </c>
      <c r="B420" t="s">
        <v>41</v>
      </c>
      <c r="C420" t="s">
        <v>26</v>
      </c>
      <c r="D420" s="3">
        <v>24614</v>
      </c>
    </row>
    <row r="421" spans="1:4" x14ac:dyDescent="0.2">
      <c r="A421" t="s">
        <v>464</v>
      </c>
      <c r="D421" s="3">
        <v>188122041</v>
      </c>
    </row>
  </sheetData>
  <mergeCells count="4">
    <mergeCell ref="H2:L2"/>
    <mergeCell ref="H9:L9"/>
    <mergeCell ref="H46:J46"/>
    <mergeCell ref="H50:J50"/>
  </mergeCells>
  <phoneticPr fontId="5" alignment="center"/>
  <hyperlinks>
    <hyperlink ref="L50" r:id="rId2" xr:uid="{6168243A-ECE7-7549-9BFF-74A2ECB76500}"/>
    <hyperlink ref="L51" r:id="rId3" xr:uid="{FEBD7961-83B2-E041-A4CD-0919CC79797F}"/>
  </hyperlinks>
  <pageMargins left="0.7" right="0.7" top="0.75" bottom="0.75" header="0.3" footer="0.3"/>
  <drawing r:id="rId4"/>
  <tableParts count="2">
    <tablePart r:id="rId5"/>
    <tablePart r:id="rId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35D98-CE1A-E44B-9BB1-5E15732D0E3A}">
  <dimension ref="A1:D12"/>
  <sheetViews>
    <sheetView zoomScaleNormal="150" zoomScaleSheetLayoutView="100" workbookViewId="0">
      <selection activeCell="C22" sqref="C22"/>
    </sheetView>
  </sheetViews>
  <sheetFormatPr defaultRowHeight="15" x14ac:dyDescent="0.2"/>
  <cols>
    <col min="1" max="1" width="10.89453125" bestFit="1" customWidth="1"/>
    <col min="2" max="2" width="18.96484375" bestFit="1" customWidth="1"/>
    <col min="4" max="4" width="13.44921875" bestFit="1" customWidth="1"/>
  </cols>
  <sheetData>
    <row r="1" spans="1:4" ht="30.75" customHeight="1" x14ac:dyDescent="0.2">
      <c r="A1" t="s">
        <v>516</v>
      </c>
      <c r="B1" t="s">
        <v>515</v>
      </c>
      <c r="C1" t="s">
        <v>466</v>
      </c>
      <c r="D1" s="3">
        <f>MAX(B2:B11)</f>
        <v>24304893</v>
      </c>
    </row>
    <row r="2" spans="1:4" x14ac:dyDescent="0.2">
      <c r="A2" t="s">
        <v>73</v>
      </c>
      <c r="B2" s="3">
        <v>15051238</v>
      </c>
      <c r="C2" t="s">
        <v>467</v>
      </c>
      <c r="D2" s="3">
        <f>MIN(B2:B11)</f>
        <v>11969097</v>
      </c>
    </row>
    <row r="3" spans="1:4" x14ac:dyDescent="0.2">
      <c r="A3" t="s">
        <v>46</v>
      </c>
      <c r="B3" s="3">
        <v>24304893</v>
      </c>
    </row>
    <row r="4" spans="1:4" x14ac:dyDescent="0.2">
      <c r="A4" t="s">
        <v>30</v>
      </c>
      <c r="B4" s="3">
        <v>17176376</v>
      </c>
    </row>
    <row r="5" spans="1:4" x14ac:dyDescent="0.2">
      <c r="A5" t="s">
        <v>25</v>
      </c>
      <c r="B5" s="3">
        <v>11969097</v>
      </c>
    </row>
    <row r="6" spans="1:4" x14ac:dyDescent="0.2">
      <c r="A6" t="s">
        <v>59</v>
      </c>
      <c r="B6" s="3">
        <v>23605806</v>
      </c>
    </row>
    <row r="7" spans="1:4" x14ac:dyDescent="0.2">
      <c r="A7" t="s">
        <v>19</v>
      </c>
      <c r="B7" s="3">
        <v>16650805</v>
      </c>
    </row>
    <row r="8" spans="1:4" x14ac:dyDescent="0.2">
      <c r="A8" t="s">
        <v>48</v>
      </c>
      <c r="B8" s="3">
        <v>23056718</v>
      </c>
    </row>
    <row r="9" spans="1:4" x14ac:dyDescent="0.2">
      <c r="A9" t="s">
        <v>37</v>
      </c>
      <c r="B9" s="3">
        <v>18735158</v>
      </c>
    </row>
    <row r="10" spans="1:4" x14ac:dyDescent="0.2">
      <c r="A10" t="s">
        <v>32</v>
      </c>
      <c r="B10" s="3">
        <v>16595462</v>
      </c>
    </row>
    <row r="11" spans="1:4" x14ac:dyDescent="0.2">
      <c r="A11" t="s">
        <v>44</v>
      </c>
      <c r="B11" s="3">
        <v>20976488</v>
      </c>
    </row>
    <row r="12" spans="1:4" x14ac:dyDescent="0.2">
      <c r="A12" t="s">
        <v>464</v>
      </c>
      <c r="B12" s="3">
        <v>188122041</v>
      </c>
    </row>
  </sheetData>
  <phoneticPr fontId="5" alignment="center"/>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FAFF3-A34E-EB46-B222-1A024886C473}">
  <dimension ref="A1:K16"/>
  <sheetViews>
    <sheetView topLeftCell="D1" zoomScaleNormal="150" zoomScaleSheetLayoutView="100" workbookViewId="0">
      <selection activeCell="F20" sqref="F20"/>
    </sheetView>
  </sheetViews>
  <sheetFormatPr defaultRowHeight="15" x14ac:dyDescent="0.2"/>
  <cols>
    <col min="3" max="4" width="21.92578125" customWidth="1"/>
    <col min="6" max="6" width="34.4375" customWidth="1"/>
    <col min="8" max="8" width="14.9296875" customWidth="1"/>
    <col min="9" max="9" width="31.87890625" bestFit="1" customWidth="1"/>
    <col min="10" max="10" width="19.234375" bestFit="1" customWidth="1"/>
    <col min="11" max="11" width="16.6796875" bestFit="1" customWidth="1"/>
  </cols>
  <sheetData>
    <row r="1" spans="1:11" x14ac:dyDescent="0.2">
      <c r="A1" s="12" t="s">
        <v>24</v>
      </c>
      <c r="B1" t="s">
        <v>26</v>
      </c>
      <c r="C1" s="3">
        <v>29632</v>
      </c>
      <c r="D1" s="3"/>
      <c r="F1" t="s">
        <v>501</v>
      </c>
    </row>
    <row r="2" spans="1:11" ht="45" x14ac:dyDescent="0.35">
      <c r="A2" s="12" t="s">
        <v>29</v>
      </c>
      <c r="B2" t="s">
        <v>20</v>
      </c>
      <c r="C2" s="3">
        <v>241638</v>
      </c>
      <c r="D2" s="3"/>
      <c r="F2" s="14" t="s">
        <v>488</v>
      </c>
    </row>
    <row r="3" spans="1:11" ht="116.25" x14ac:dyDescent="0.2">
      <c r="A3" s="12" t="s">
        <v>18</v>
      </c>
      <c r="B3" t="s">
        <v>34</v>
      </c>
      <c r="C3" s="3">
        <v>347873</v>
      </c>
      <c r="D3" s="3"/>
      <c r="F3" s="16" t="s">
        <v>500</v>
      </c>
      <c r="G3" t="s">
        <v>489</v>
      </c>
    </row>
    <row r="4" spans="1:11" x14ac:dyDescent="0.2">
      <c r="A4" s="12" t="s">
        <v>18</v>
      </c>
      <c r="B4" t="s">
        <v>20</v>
      </c>
      <c r="C4" s="3">
        <v>459155</v>
      </c>
      <c r="D4" s="3"/>
      <c r="F4" s="15"/>
    </row>
    <row r="5" spans="1:11" x14ac:dyDescent="0.2">
      <c r="A5" s="12" t="s">
        <v>24</v>
      </c>
      <c r="B5" t="s">
        <v>34</v>
      </c>
      <c r="C5" s="3">
        <v>531173</v>
      </c>
      <c r="D5" s="3"/>
    </row>
    <row r="6" spans="1:11" x14ac:dyDescent="0.2">
      <c r="A6" s="12" t="s">
        <v>24</v>
      </c>
      <c r="B6" t="s">
        <v>38</v>
      </c>
      <c r="C6" s="3">
        <v>544980</v>
      </c>
      <c r="D6" s="3"/>
    </row>
    <row r="7" spans="1:11" x14ac:dyDescent="0.2">
      <c r="A7" s="12" t="s">
        <v>41</v>
      </c>
      <c r="B7" t="s">
        <v>20</v>
      </c>
      <c r="C7" s="3">
        <v>648873</v>
      </c>
      <c r="D7" s="3"/>
    </row>
    <row r="8" spans="1:11" x14ac:dyDescent="0.2">
      <c r="A8" s="12" t="s">
        <v>18</v>
      </c>
      <c r="B8" t="s">
        <v>20</v>
      </c>
      <c r="C8" s="3">
        <v>666056</v>
      </c>
      <c r="D8" s="3"/>
    </row>
    <row r="9" spans="1:11" ht="41.25" x14ac:dyDescent="0.2">
      <c r="A9" s="12" t="s">
        <v>18</v>
      </c>
      <c r="B9" t="s">
        <v>26</v>
      </c>
      <c r="C9" s="3">
        <v>681021</v>
      </c>
      <c r="D9" s="3"/>
      <c r="E9" s="12" t="s">
        <v>499</v>
      </c>
      <c r="F9" t="s">
        <v>493</v>
      </c>
      <c r="H9" s="12" t="s">
        <v>492</v>
      </c>
      <c r="I9" s="15" t="s">
        <v>502</v>
      </c>
      <c r="J9" s="43" t="s">
        <v>494</v>
      </c>
      <c r="K9" s="43"/>
    </row>
    <row r="10" spans="1:11" x14ac:dyDescent="0.2">
      <c r="A10" s="12" t="s">
        <v>24</v>
      </c>
      <c r="B10" t="s">
        <v>34</v>
      </c>
      <c r="C10" s="3">
        <v>714686</v>
      </c>
      <c r="D10" s="3"/>
      <c r="E10" s="39" t="s">
        <v>490</v>
      </c>
      <c r="F10" s="40"/>
      <c r="G10" s="40"/>
      <c r="H10" s="40"/>
      <c r="I10" s="41"/>
      <c r="J10" t="s">
        <v>494</v>
      </c>
      <c r="K10" t="s">
        <v>491</v>
      </c>
    </row>
    <row r="11" spans="1:11" x14ac:dyDescent="0.2">
      <c r="A11" s="12" t="s">
        <v>24</v>
      </c>
      <c r="B11" t="s">
        <v>26</v>
      </c>
      <c r="C11" s="3">
        <v>722074</v>
      </c>
      <c r="D11" s="3"/>
      <c r="E11" t="s">
        <v>496</v>
      </c>
      <c r="F11" s="3" t="s">
        <v>498</v>
      </c>
      <c r="G11" s="42" t="s">
        <v>497</v>
      </c>
      <c r="H11" s="42"/>
      <c r="I11" s="13" t="s">
        <v>495</v>
      </c>
      <c r="J11">
        <v>0.9</v>
      </c>
      <c r="K11" s="3">
        <f>PERCENTILE(C3:C12,0.9)</f>
        <v>726279.9</v>
      </c>
    </row>
    <row r="12" spans="1:11" x14ac:dyDescent="0.2">
      <c r="A12" s="12" t="s">
        <v>18</v>
      </c>
      <c r="B12" t="s">
        <v>20</v>
      </c>
      <c r="C12" s="3">
        <v>764133</v>
      </c>
      <c r="D12" s="3"/>
      <c r="E12" t="s">
        <v>483</v>
      </c>
      <c r="F12" s="3">
        <f>(C10+C11)/2</f>
        <v>718380</v>
      </c>
      <c r="G12" t="s">
        <v>478</v>
      </c>
      <c r="I12" s="13">
        <f>12*0.9</f>
        <v>10.8</v>
      </c>
      <c r="J12">
        <v>0.8</v>
      </c>
      <c r="K12" s="3">
        <f>PERCENTILE(C3:C12,0.8)</f>
        <v>716163.6</v>
      </c>
    </row>
    <row r="13" spans="1:11" x14ac:dyDescent="0.2">
      <c r="E13" t="s">
        <v>484</v>
      </c>
      <c r="F13" s="3">
        <f>(C9+C10)/2</f>
        <v>697853.5</v>
      </c>
      <c r="G13" t="s">
        <v>479</v>
      </c>
      <c r="I13">
        <f>12*0.8</f>
        <v>9.6000000000000014</v>
      </c>
      <c r="J13">
        <v>0.5</v>
      </c>
      <c r="K13" s="3">
        <f>PERCENTILE(C3:C12,0.5)</f>
        <v>657464.5</v>
      </c>
    </row>
    <row r="14" spans="1:11" x14ac:dyDescent="0.2">
      <c r="E14" t="s">
        <v>486</v>
      </c>
      <c r="F14" s="3">
        <v>544980</v>
      </c>
      <c r="G14" t="s">
        <v>480</v>
      </c>
      <c r="I14">
        <f>12*0.5</f>
        <v>6</v>
      </c>
      <c r="J14">
        <v>0.25</v>
      </c>
      <c r="K14" s="3">
        <f>PERCENTILE(C3:C12,0.25)</f>
        <v>534624.75</v>
      </c>
    </row>
    <row r="15" spans="1:11" x14ac:dyDescent="0.2">
      <c r="E15" t="s">
        <v>487</v>
      </c>
      <c r="F15" s="3">
        <v>347873</v>
      </c>
      <c r="G15" t="s">
        <v>481</v>
      </c>
      <c r="I15">
        <f>12*0.25</f>
        <v>3</v>
      </c>
      <c r="J15">
        <v>0.1</v>
      </c>
      <c r="K15" s="3">
        <f>PERCENTILE(C3:C12,0.1)</f>
        <v>448026.8</v>
      </c>
    </row>
    <row r="16" spans="1:11" x14ac:dyDescent="0.2">
      <c r="E16" t="s">
        <v>485</v>
      </c>
      <c r="F16" s="3">
        <f>(C6+C7)/2</f>
        <v>596926.5</v>
      </c>
      <c r="G16" t="s">
        <v>482</v>
      </c>
      <c r="I16">
        <f>12*0.1</f>
        <v>1.2000000000000002</v>
      </c>
    </row>
  </sheetData>
  <sortState xmlns:xlrd2="http://schemas.microsoft.com/office/spreadsheetml/2017/richdata2" ref="A1:C12">
    <sortCondition ref="C1:C12"/>
  </sortState>
  <mergeCells count="3">
    <mergeCell ref="E10:I10"/>
    <mergeCell ref="G11:H11"/>
    <mergeCell ref="J9:K9"/>
  </mergeCells>
  <phoneticPr fontId="5" alignment="center"/>
  <conditionalFormatting sqref="J11:K11">
    <cfRule type="top10" dxfId="4" priority="6" percent="1" rank="10"/>
  </conditionalFormatting>
  <conditionalFormatting sqref="K12">
    <cfRule type="cellIs" dxfId="3" priority="5" operator="greaterThan">
      <formula>0.8</formula>
    </cfRule>
  </conditionalFormatting>
  <conditionalFormatting sqref="K13">
    <cfRule type="cellIs" dxfId="2" priority="4" operator="greaterThan">
      <formula>0.5</formula>
    </cfRule>
  </conditionalFormatting>
  <conditionalFormatting sqref="K14">
    <cfRule type="cellIs" dxfId="1" priority="3" operator="greaterThan">
      <formula>0.25</formula>
    </cfRule>
  </conditionalFormatting>
  <conditionalFormatting sqref="K15">
    <cfRule type="cellIs" dxfId="0" priority="1" operator="greaterThan">
      <formula>0.1</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88B4C-39B3-A345-92C5-43B96C07B3BC}">
  <dimension ref="A1:P419"/>
  <sheetViews>
    <sheetView zoomScaleNormal="150" zoomScaleSheetLayoutView="100" workbookViewId="0">
      <selection activeCell="D13" sqref="D13:F18"/>
    </sheetView>
  </sheetViews>
  <sheetFormatPr defaultRowHeight="15" x14ac:dyDescent="0.2"/>
  <cols>
    <col min="1" max="1" width="13.71875" customWidth="1"/>
    <col min="2" max="2" width="13.85546875" bestFit="1" customWidth="1"/>
    <col min="3" max="3" width="12.64453125" bestFit="1" customWidth="1"/>
    <col min="4" max="4" width="11.296875" bestFit="1" customWidth="1"/>
    <col min="5" max="5" width="13.85546875" bestFit="1" customWidth="1"/>
    <col min="6" max="6" width="15.46875" bestFit="1" customWidth="1"/>
    <col min="7" max="7" width="21.7890625" bestFit="1" customWidth="1"/>
    <col min="8" max="8" width="18.5625" bestFit="1" customWidth="1"/>
    <col min="9" max="9" width="20.984375" bestFit="1" customWidth="1"/>
    <col min="10" max="10" width="17.890625" bestFit="1" customWidth="1"/>
    <col min="11" max="11" width="18.29296875" bestFit="1" customWidth="1"/>
    <col min="12" max="12" width="25.55859375" bestFit="1" customWidth="1"/>
    <col min="13" max="13" width="16.41015625" bestFit="1" customWidth="1"/>
    <col min="14" max="14" width="22.328125" bestFit="1" customWidth="1"/>
    <col min="15" max="15" width="18.6953125" bestFit="1" customWidth="1"/>
  </cols>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s="1" t="s">
        <v>16</v>
      </c>
      <c r="B2" s="1" t="s">
        <v>17</v>
      </c>
      <c r="C2" s="1" t="s">
        <v>18</v>
      </c>
      <c r="D2" s="1" t="s">
        <v>19</v>
      </c>
      <c r="E2" s="1" t="s">
        <v>20</v>
      </c>
      <c r="F2" s="1">
        <v>459155</v>
      </c>
      <c r="G2" s="1">
        <v>42</v>
      </c>
      <c r="H2" s="1">
        <v>285</v>
      </c>
      <c r="I2" s="1">
        <v>1.21</v>
      </c>
      <c r="J2" s="1">
        <v>127224</v>
      </c>
      <c r="K2" s="1">
        <v>77023</v>
      </c>
      <c r="L2" s="1">
        <v>17.7</v>
      </c>
      <c r="M2" s="1" t="s">
        <v>21</v>
      </c>
      <c r="N2" s="1">
        <v>32.9</v>
      </c>
      <c r="O2" s="1">
        <v>255.9</v>
      </c>
      <c r="P2" s="1">
        <v>2026</v>
      </c>
    </row>
    <row r="3" spans="1:16" ht="27.75" x14ac:dyDescent="0.2">
      <c r="A3" s="1" t="s">
        <v>22</v>
      </c>
      <c r="B3" s="1" t="s">
        <v>23</v>
      </c>
      <c r="C3" s="1" t="s">
        <v>24</v>
      </c>
      <c r="D3" s="1" t="s">
        <v>25</v>
      </c>
      <c r="E3" s="1" t="s">
        <v>26</v>
      </c>
      <c r="F3" s="1">
        <v>722074</v>
      </c>
      <c r="G3" s="1">
        <v>50</v>
      </c>
      <c r="H3" s="1">
        <v>330</v>
      </c>
      <c r="I3" s="1">
        <v>0.52</v>
      </c>
      <c r="J3" s="1">
        <v>112274</v>
      </c>
      <c r="K3" s="1">
        <v>69502</v>
      </c>
      <c r="L3" s="1">
        <v>23.3</v>
      </c>
      <c r="M3" s="1" t="s">
        <v>21</v>
      </c>
      <c r="N3" s="1">
        <v>60.1</v>
      </c>
      <c r="O3" s="1">
        <v>155.1</v>
      </c>
      <c r="P3" s="1">
        <v>2026</v>
      </c>
    </row>
    <row r="4" spans="1:16" x14ac:dyDescent="0.2">
      <c r="A4" s="1" t="s">
        <v>27</v>
      </c>
      <c r="B4" s="1" t="s">
        <v>28</v>
      </c>
      <c r="C4" s="1" t="s">
        <v>29</v>
      </c>
      <c r="D4" s="1" t="s">
        <v>30</v>
      </c>
      <c r="E4" s="1" t="s">
        <v>20</v>
      </c>
      <c r="F4" s="1">
        <v>241638</v>
      </c>
      <c r="G4" s="1">
        <v>105</v>
      </c>
      <c r="H4" s="1">
        <v>483</v>
      </c>
      <c r="I4" s="1">
        <v>2.41</v>
      </c>
      <c r="J4" s="1">
        <v>76749</v>
      </c>
      <c r="K4" s="1">
        <v>33908</v>
      </c>
      <c r="L4" s="1">
        <v>14</v>
      </c>
      <c r="M4" s="1" t="s">
        <v>21</v>
      </c>
      <c r="N4" s="1">
        <v>27.7</v>
      </c>
      <c r="O4" s="1">
        <v>161.6</v>
      </c>
      <c r="P4" s="1">
        <v>2026</v>
      </c>
    </row>
    <row r="5" spans="1:16" x14ac:dyDescent="0.2">
      <c r="A5" s="1" t="s">
        <v>31</v>
      </c>
      <c r="B5" s="1" t="s">
        <v>17</v>
      </c>
      <c r="C5" s="1" t="s">
        <v>18</v>
      </c>
      <c r="D5" s="1" t="s">
        <v>32</v>
      </c>
      <c r="E5" s="1" t="s">
        <v>26</v>
      </c>
      <c r="F5" s="1">
        <v>681021</v>
      </c>
      <c r="G5" s="1">
        <v>116</v>
      </c>
      <c r="H5" s="1">
        <v>472</v>
      </c>
      <c r="I5" s="1">
        <v>1.53</v>
      </c>
      <c r="J5" s="1">
        <v>64238</v>
      </c>
      <c r="K5" s="1">
        <v>57502</v>
      </c>
      <c r="L5" s="1">
        <v>17.5</v>
      </c>
      <c r="M5" s="1" t="s">
        <v>21</v>
      </c>
      <c r="N5" s="1">
        <v>40.1</v>
      </c>
      <c r="O5" s="1">
        <v>246.3</v>
      </c>
      <c r="P5" s="1">
        <v>2026</v>
      </c>
    </row>
    <row r="6" spans="1:16" ht="27.75" x14ac:dyDescent="0.2">
      <c r="A6" s="1" t="s">
        <v>33</v>
      </c>
      <c r="B6" s="1" t="s">
        <v>23</v>
      </c>
      <c r="C6" s="1" t="s">
        <v>24</v>
      </c>
      <c r="D6" s="1" t="s">
        <v>30</v>
      </c>
      <c r="E6" s="1" t="s">
        <v>34</v>
      </c>
      <c r="F6" s="1">
        <v>714686</v>
      </c>
      <c r="G6" s="1">
        <v>114</v>
      </c>
      <c r="H6" s="1">
        <v>485</v>
      </c>
      <c r="I6" s="1">
        <v>2.0699999999999998</v>
      </c>
      <c r="J6" s="1">
        <v>135149</v>
      </c>
      <c r="K6" s="1">
        <v>58145</v>
      </c>
      <c r="L6" s="1">
        <v>16.100000000000001</v>
      </c>
      <c r="M6" s="1" t="s">
        <v>35</v>
      </c>
      <c r="N6" s="1">
        <v>54.5</v>
      </c>
      <c r="O6" s="1">
        <v>21.2</v>
      </c>
      <c r="P6" s="1">
        <v>2026</v>
      </c>
    </row>
    <row r="7" spans="1:16" ht="27.75" x14ac:dyDescent="0.2">
      <c r="A7" s="1" t="s">
        <v>36</v>
      </c>
      <c r="B7" s="1" t="s">
        <v>23</v>
      </c>
      <c r="C7" s="1" t="s">
        <v>24</v>
      </c>
      <c r="D7" s="1" t="s">
        <v>37</v>
      </c>
      <c r="E7" s="1" t="s">
        <v>38</v>
      </c>
      <c r="F7" s="1">
        <v>544980</v>
      </c>
      <c r="G7" s="1">
        <v>102</v>
      </c>
      <c r="H7" s="1">
        <v>482</v>
      </c>
      <c r="I7" s="1">
        <v>1.27</v>
      </c>
      <c r="J7" s="1">
        <v>14009</v>
      </c>
      <c r="K7" s="1">
        <v>62939</v>
      </c>
      <c r="L7" s="1">
        <v>14.7</v>
      </c>
      <c r="M7" s="1" t="s">
        <v>35</v>
      </c>
      <c r="N7" s="1">
        <v>26.7</v>
      </c>
      <c r="O7" s="1">
        <v>26.2</v>
      </c>
      <c r="P7" s="1">
        <v>2026</v>
      </c>
    </row>
    <row r="8" spans="1:16" x14ac:dyDescent="0.2">
      <c r="A8" s="1" t="s">
        <v>39</v>
      </c>
      <c r="B8" s="1" t="s">
        <v>40</v>
      </c>
      <c r="C8" s="1" t="s">
        <v>41</v>
      </c>
      <c r="D8" s="1" t="s">
        <v>30</v>
      </c>
      <c r="E8" s="1" t="s">
        <v>20</v>
      </c>
      <c r="F8" s="1">
        <v>648873</v>
      </c>
      <c r="G8" s="1">
        <v>103</v>
      </c>
      <c r="H8" s="1">
        <v>463</v>
      </c>
      <c r="I8" s="1">
        <v>1.1000000000000001</v>
      </c>
      <c r="J8" s="1">
        <v>17055</v>
      </c>
      <c r="K8" s="1">
        <v>50809</v>
      </c>
      <c r="L8" s="1">
        <v>14.5</v>
      </c>
      <c r="M8" s="1" t="s">
        <v>21</v>
      </c>
      <c r="N8" s="1">
        <v>7</v>
      </c>
      <c r="O8" s="1">
        <v>273.10000000000002</v>
      </c>
      <c r="P8" s="1">
        <v>2026</v>
      </c>
    </row>
    <row r="9" spans="1:16" x14ac:dyDescent="0.2">
      <c r="A9" s="1" t="s">
        <v>42</v>
      </c>
      <c r="B9" s="1" t="s">
        <v>43</v>
      </c>
      <c r="C9" s="1" t="s">
        <v>18</v>
      </c>
      <c r="D9" s="1" t="s">
        <v>44</v>
      </c>
      <c r="E9" s="1" t="s">
        <v>34</v>
      </c>
      <c r="F9" s="1">
        <v>347873</v>
      </c>
      <c r="G9" s="1">
        <v>105</v>
      </c>
      <c r="H9" s="1">
        <v>415</v>
      </c>
      <c r="I9" s="1">
        <v>1.87</v>
      </c>
      <c r="J9" s="1">
        <v>165191</v>
      </c>
      <c r="K9" s="1">
        <v>31856</v>
      </c>
      <c r="L9" s="1">
        <v>20.100000000000001</v>
      </c>
      <c r="M9" s="1" t="s">
        <v>35</v>
      </c>
      <c r="N9" s="1">
        <v>54.8</v>
      </c>
      <c r="O9" s="1">
        <v>294.39999999999998</v>
      </c>
      <c r="P9" s="1">
        <v>2026</v>
      </c>
    </row>
    <row r="10" spans="1:16" x14ac:dyDescent="0.2">
      <c r="A10" s="1" t="s">
        <v>45</v>
      </c>
      <c r="B10" s="1" t="s">
        <v>43</v>
      </c>
      <c r="C10" s="1" t="s">
        <v>18</v>
      </c>
      <c r="D10" s="1" t="s">
        <v>46</v>
      </c>
      <c r="E10" s="1" t="s">
        <v>20</v>
      </c>
      <c r="F10" s="1">
        <v>764133</v>
      </c>
      <c r="G10" s="1">
        <v>85</v>
      </c>
      <c r="H10" s="1">
        <v>278</v>
      </c>
      <c r="I10" s="1">
        <v>2.11</v>
      </c>
      <c r="J10" s="1">
        <v>54109</v>
      </c>
      <c r="K10" s="1">
        <v>30176</v>
      </c>
      <c r="L10" s="1">
        <v>14.7</v>
      </c>
      <c r="M10" s="1" t="s">
        <v>35</v>
      </c>
      <c r="N10" s="1">
        <v>33.1</v>
      </c>
      <c r="O10" s="1">
        <v>202.7</v>
      </c>
      <c r="P10" s="1">
        <v>2026</v>
      </c>
    </row>
    <row r="11" spans="1:16" x14ac:dyDescent="0.2">
      <c r="A11" s="1" t="s">
        <v>47</v>
      </c>
      <c r="B11" s="1" t="s">
        <v>43</v>
      </c>
      <c r="C11" s="1" t="s">
        <v>18</v>
      </c>
      <c r="D11" s="1" t="s">
        <v>48</v>
      </c>
      <c r="E11" s="1" t="s">
        <v>20</v>
      </c>
      <c r="F11" s="1">
        <v>666056</v>
      </c>
      <c r="G11" s="1">
        <v>115</v>
      </c>
      <c r="H11" s="1">
        <v>258</v>
      </c>
      <c r="I11" s="1">
        <v>1.3</v>
      </c>
      <c r="J11" s="1">
        <v>82460</v>
      </c>
      <c r="K11" s="1">
        <v>27870</v>
      </c>
      <c r="L11" s="1">
        <v>20.6</v>
      </c>
      <c r="M11" s="1" t="s">
        <v>21</v>
      </c>
      <c r="N11" s="1">
        <v>26</v>
      </c>
      <c r="O11" s="1">
        <v>80.7</v>
      </c>
      <c r="P11" s="1">
        <v>2026</v>
      </c>
    </row>
    <row r="12" spans="1:16" ht="27.75" x14ac:dyDescent="0.2">
      <c r="A12" s="1" t="s">
        <v>49</v>
      </c>
      <c r="B12" s="1" t="s">
        <v>50</v>
      </c>
      <c r="C12" s="1" t="s">
        <v>24</v>
      </c>
      <c r="D12" s="1" t="s">
        <v>19</v>
      </c>
      <c r="E12" s="1" t="s">
        <v>34</v>
      </c>
      <c r="F12" s="1">
        <v>531173</v>
      </c>
      <c r="G12" s="1">
        <v>113</v>
      </c>
      <c r="H12" s="1">
        <v>613</v>
      </c>
      <c r="I12" s="1">
        <v>1.42</v>
      </c>
      <c r="J12" s="1">
        <v>196990</v>
      </c>
      <c r="K12" s="1">
        <v>79966</v>
      </c>
      <c r="L12" s="1">
        <v>15.4</v>
      </c>
      <c r="M12" s="1" t="s">
        <v>21</v>
      </c>
      <c r="N12" s="1">
        <v>37</v>
      </c>
      <c r="O12" s="1">
        <v>299.2</v>
      </c>
      <c r="P12" s="1">
        <v>2026</v>
      </c>
    </row>
    <row r="13" spans="1:16" ht="27.75" x14ac:dyDescent="0.2">
      <c r="A13" s="1" t="s">
        <v>51</v>
      </c>
      <c r="B13" s="1" t="s">
        <v>23</v>
      </c>
      <c r="C13" s="1" t="s">
        <v>24</v>
      </c>
      <c r="D13" s="1" t="s">
        <v>19</v>
      </c>
      <c r="E13" s="1" t="s">
        <v>26</v>
      </c>
      <c r="F13" s="1">
        <v>29632</v>
      </c>
      <c r="G13" s="1">
        <v>69</v>
      </c>
      <c r="H13" s="1">
        <v>421</v>
      </c>
      <c r="I13" s="1">
        <v>1.42</v>
      </c>
      <c r="J13" s="1">
        <v>43607</v>
      </c>
      <c r="K13" s="1">
        <v>65128</v>
      </c>
      <c r="L13" s="1">
        <v>18.899999999999999</v>
      </c>
      <c r="M13" s="1" t="s">
        <v>35</v>
      </c>
      <c r="N13" s="1">
        <v>19.100000000000001</v>
      </c>
      <c r="O13" s="1">
        <v>259</v>
      </c>
      <c r="P13" s="1">
        <v>2026</v>
      </c>
    </row>
    <row r="14" spans="1:16" x14ac:dyDescent="0.2">
      <c r="A14" s="1" t="s">
        <v>52</v>
      </c>
      <c r="B14" s="1" t="s">
        <v>53</v>
      </c>
      <c r="C14" s="1" t="s">
        <v>41</v>
      </c>
      <c r="D14" s="1" t="s">
        <v>46</v>
      </c>
      <c r="E14" s="1" t="s">
        <v>34</v>
      </c>
      <c r="F14" s="1">
        <v>49610</v>
      </c>
      <c r="G14" s="1">
        <v>87</v>
      </c>
      <c r="H14" s="1">
        <v>568</v>
      </c>
      <c r="I14" s="1">
        <v>1.17</v>
      </c>
      <c r="J14" s="1">
        <v>62794</v>
      </c>
      <c r="K14" s="1">
        <v>47574</v>
      </c>
      <c r="L14" s="1">
        <v>12.6</v>
      </c>
      <c r="M14" s="1" t="s">
        <v>21</v>
      </c>
      <c r="N14" s="1">
        <v>13.3</v>
      </c>
      <c r="O14" s="1">
        <v>113.7</v>
      </c>
      <c r="P14" s="1">
        <v>2026</v>
      </c>
    </row>
    <row r="15" spans="1:16" x14ac:dyDescent="0.2">
      <c r="A15" s="1" t="s">
        <v>54</v>
      </c>
      <c r="B15" s="1" t="s">
        <v>28</v>
      </c>
      <c r="C15" s="1" t="s">
        <v>29</v>
      </c>
      <c r="D15" s="1" t="s">
        <v>37</v>
      </c>
      <c r="E15" s="1" t="s">
        <v>20</v>
      </c>
      <c r="F15" s="1">
        <v>465357</v>
      </c>
      <c r="G15" s="1">
        <v>43</v>
      </c>
      <c r="H15" s="1">
        <v>443</v>
      </c>
      <c r="I15" s="1">
        <v>2.5099999999999998</v>
      </c>
      <c r="J15" s="1">
        <v>3580</v>
      </c>
      <c r="K15" s="1">
        <v>34017</v>
      </c>
      <c r="L15" s="1">
        <v>22.4</v>
      </c>
      <c r="M15" s="1" t="s">
        <v>21</v>
      </c>
      <c r="N15" s="1">
        <v>6.4</v>
      </c>
      <c r="O15" s="1">
        <v>51.6</v>
      </c>
      <c r="P15" s="1">
        <v>2026</v>
      </c>
    </row>
    <row r="16" spans="1:16" x14ac:dyDescent="0.2">
      <c r="A16" s="1" t="s">
        <v>55</v>
      </c>
      <c r="B16" s="1" t="s">
        <v>56</v>
      </c>
      <c r="C16" s="1" t="s">
        <v>41</v>
      </c>
      <c r="D16" s="1" t="s">
        <v>30</v>
      </c>
      <c r="E16" s="1" t="s">
        <v>38</v>
      </c>
      <c r="F16" s="1">
        <v>571320</v>
      </c>
      <c r="G16" s="1">
        <v>56</v>
      </c>
      <c r="H16" s="1">
        <v>486</v>
      </c>
      <c r="I16" s="1">
        <v>2.83</v>
      </c>
      <c r="J16" s="1">
        <v>170481</v>
      </c>
      <c r="K16" s="1">
        <v>82538</v>
      </c>
      <c r="L16" s="1">
        <v>13.9</v>
      </c>
      <c r="M16" s="1" t="s">
        <v>35</v>
      </c>
      <c r="N16" s="1">
        <v>58.2</v>
      </c>
      <c r="O16" s="1">
        <v>276</v>
      </c>
      <c r="P16" s="1">
        <v>2026</v>
      </c>
    </row>
    <row r="17" spans="1:16" x14ac:dyDescent="0.2">
      <c r="A17" s="1" t="s">
        <v>57</v>
      </c>
      <c r="B17" s="1" t="s">
        <v>17</v>
      </c>
      <c r="C17" s="1" t="s">
        <v>18</v>
      </c>
      <c r="D17" s="1" t="s">
        <v>46</v>
      </c>
      <c r="E17" s="1" t="s">
        <v>38</v>
      </c>
      <c r="F17" s="1">
        <v>652396</v>
      </c>
      <c r="G17" s="1">
        <v>81</v>
      </c>
      <c r="H17" s="1">
        <v>282</v>
      </c>
      <c r="I17" s="1">
        <v>1.64</v>
      </c>
      <c r="J17" s="1">
        <v>92851</v>
      </c>
      <c r="K17" s="1">
        <v>76420</v>
      </c>
      <c r="L17" s="1">
        <v>19.600000000000001</v>
      </c>
      <c r="M17" s="1" t="s">
        <v>35</v>
      </c>
      <c r="N17" s="1">
        <v>35.5</v>
      </c>
      <c r="O17" s="1">
        <v>46.6</v>
      </c>
      <c r="P17" s="1">
        <v>2026</v>
      </c>
    </row>
    <row r="18" spans="1:16" x14ac:dyDescent="0.2">
      <c r="A18" s="1" t="s">
        <v>58</v>
      </c>
      <c r="B18" s="1" t="s">
        <v>43</v>
      </c>
      <c r="C18" s="1" t="s">
        <v>18</v>
      </c>
      <c r="D18" s="1" t="s">
        <v>59</v>
      </c>
      <c r="E18" s="1" t="s">
        <v>38</v>
      </c>
      <c r="F18" s="1">
        <v>351592</v>
      </c>
      <c r="G18" s="1">
        <v>111</v>
      </c>
      <c r="H18" s="1">
        <v>375</v>
      </c>
      <c r="I18" s="1">
        <v>0.51</v>
      </c>
      <c r="J18" s="1">
        <v>179365</v>
      </c>
      <c r="K18" s="1">
        <v>52843</v>
      </c>
      <c r="L18" s="1">
        <v>16.5</v>
      </c>
      <c r="M18" s="1" t="s">
        <v>35</v>
      </c>
      <c r="N18" s="1">
        <v>37.9</v>
      </c>
      <c r="O18" s="1">
        <v>67.5</v>
      </c>
      <c r="P18" s="1">
        <v>2026</v>
      </c>
    </row>
    <row r="19" spans="1:16" x14ac:dyDescent="0.2">
      <c r="A19" s="1" t="s">
        <v>60</v>
      </c>
      <c r="B19" s="1" t="s">
        <v>43</v>
      </c>
      <c r="C19" s="1" t="s">
        <v>18</v>
      </c>
      <c r="D19" s="1" t="s">
        <v>44</v>
      </c>
      <c r="E19" s="1" t="s">
        <v>38</v>
      </c>
      <c r="F19" s="1">
        <v>741962</v>
      </c>
      <c r="G19" s="1">
        <v>94</v>
      </c>
      <c r="H19" s="1">
        <v>271</v>
      </c>
      <c r="I19" s="1">
        <v>2.4</v>
      </c>
      <c r="J19" s="1">
        <v>95509</v>
      </c>
      <c r="K19" s="1">
        <v>64994</v>
      </c>
      <c r="L19" s="1">
        <v>18.2</v>
      </c>
      <c r="M19" s="1" t="s">
        <v>35</v>
      </c>
      <c r="N19" s="1">
        <v>10.8</v>
      </c>
      <c r="O19" s="1">
        <v>197.4</v>
      </c>
      <c r="P19" s="1">
        <v>2026</v>
      </c>
    </row>
    <row r="20" spans="1:16" ht="27.75" x14ac:dyDescent="0.2">
      <c r="A20" s="1" t="s">
        <v>61</v>
      </c>
      <c r="B20" s="1" t="s">
        <v>62</v>
      </c>
      <c r="C20" s="1" t="s">
        <v>41</v>
      </c>
      <c r="D20" s="1" t="s">
        <v>44</v>
      </c>
      <c r="E20" s="1" t="s">
        <v>26</v>
      </c>
      <c r="F20" s="1">
        <v>699943</v>
      </c>
      <c r="G20" s="1">
        <v>103</v>
      </c>
      <c r="H20" s="1">
        <v>337</v>
      </c>
      <c r="I20" s="1">
        <v>0.72</v>
      </c>
      <c r="J20" s="1">
        <v>129379</v>
      </c>
      <c r="K20" s="1">
        <v>75020</v>
      </c>
      <c r="L20" s="1">
        <v>20.9</v>
      </c>
      <c r="M20" s="1" t="s">
        <v>35</v>
      </c>
      <c r="N20" s="1">
        <v>31.7</v>
      </c>
      <c r="O20" s="1">
        <v>139.30000000000001</v>
      </c>
      <c r="P20" s="1">
        <v>2026</v>
      </c>
    </row>
    <row r="21" spans="1:16" x14ac:dyDescent="0.2">
      <c r="A21" s="1" t="s">
        <v>63</v>
      </c>
      <c r="B21" s="1" t="s">
        <v>43</v>
      </c>
      <c r="C21" s="1" t="s">
        <v>18</v>
      </c>
      <c r="D21" s="1" t="s">
        <v>48</v>
      </c>
      <c r="E21" s="1" t="s">
        <v>34</v>
      </c>
      <c r="F21" s="1">
        <v>307917</v>
      </c>
      <c r="G21" s="1">
        <v>48</v>
      </c>
      <c r="H21" s="1">
        <v>320</v>
      </c>
      <c r="I21" s="1">
        <v>2.5299999999999998</v>
      </c>
      <c r="J21" s="1">
        <v>153384</v>
      </c>
      <c r="K21" s="1">
        <v>55189</v>
      </c>
      <c r="L21" s="1">
        <v>20.399999999999999</v>
      </c>
      <c r="M21" s="1" t="s">
        <v>35</v>
      </c>
      <c r="N21" s="1">
        <v>48</v>
      </c>
      <c r="O21" s="1">
        <v>52.9</v>
      </c>
      <c r="P21" s="1">
        <v>2026</v>
      </c>
    </row>
    <row r="22" spans="1:16" x14ac:dyDescent="0.2">
      <c r="A22" s="1" t="s">
        <v>64</v>
      </c>
      <c r="B22" s="1" t="s">
        <v>56</v>
      </c>
      <c r="C22" s="1" t="s">
        <v>41</v>
      </c>
      <c r="D22" s="1" t="s">
        <v>25</v>
      </c>
      <c r="E22" s="1" t="s">
        <v>20</v>
      </c>
      <c r="F22" s="1">
        <v>151263</v>
      </c>
      <c r="G22" s="1">
        <v>56</v>
      </c>
      <c r="H22" s="1">
        <v>538</v>
      </c>
      <c r="I22" s="1">
        <v>0.64</v>
      </c>
      <c r="J22" s="1">
        <v>195903</v>
      </c>
      <c r="K22" s="1">
        <v>72561</v>
      </c>
      <c r="L22" s="1">
        <v>12.7</v>
      </c>
      <c r="M22" s="1" t="s">
        <v>35</v>
      </c>
      <c r="N22" s="1">
        <v>31.8</v>
      </c>
      <c r="O22" s="1">
        <v>90.3</v>
      </c>
      <c r="P22" s="1">
        <v>2026</v>
      </c>
    </row>
    <row r="23" spans="1:16" ht="27.75" x14ac:dyDescent="0.2">
      <c r="A23" s="1" t="s">
        <v>65</v>
      </c>
      <c r="B23" s="1" t="s">
        <v>62</v>
      </c>
      <c r="C23" s="1" t="s">
        <v>41</v>
      </c>
      <c r="D23" s="1" t="s">
        <v>37</v>
      </c>
      <c r="E23" s="1" t="s">
        <v>34</v>
      </c>
      <c r="F23" s="1">
        <v>75402</v>
      </c>
      <c r="G23" s="1">
        <v>87</v>
      </c>
      <c r="H23" s="1">
        <v>410</v>
      </c>
      <c r="I23" s="1">
        <v>1.1499999999999999</v>
      </c>
      <c r="J23" s="1">
        <v>19358</v>
      </c>
      <c r="K23" s="1">
        <v>45192</v>
      </c>
      <c r="L23" s="1">
        <v>14.2</v>
      </c>
      <c r="M23" s="1" t="s">
        <v>21</v>
      </c>
      <c r="N23" s="1">
        <v>35.6</v>
      </c>
      <c r="O23" s="1">
        <v>62.9</v>
      </c>
      <c r="P23" s="1">
        <v>2026</v>
      </c>
    </row>
    <row r="24" spans="1:16" x14ac:dyDescent="0.2">
      <c r="A24" s="1" t="s">
        <v>66</v>
      </c>
      <c r="B24" s="1" t="s">
        <v>67</v>
      </c>
      <c r="C24" s="1" t="s">
        <v>18</v>
      </c>
      <c r="D24" s="1" t="s">
        <v>44</v>
      </c>
      <c r="E24" s="1" t="s">
        <v>26</v>
      </c>
      <c r="F24" s="1">
        <v>530526</v>
      </c>
      <c r="G24" s="1">
        <v>61</v>
      </c>
      <c r="H24" s="1">
        <v>649</v>
      </c>
      <c r="I24" s="1">
        <v>1.77</v>
      </c>
      <c r="J24" s="1">
        <v>89369</v>
      </c>
      <c r="K24" s="1">
        <v>75305</v>
      </c>
      <c r="L24" s="1">
        <v>19.600000000000001</v>
      </c>
      <c r="M24" s="1" t="s">
        <v>35</v>
      </c>
      <c r="N24" s="1">
        <v>34.700000000000003</v>
      </c>
      <c r="O24" s="1">
        <v>241.5</v>
      </c>
      <c r="P24" s="1">
        <v>2026</v>
      </c>
    </row>
    <row r="25" spans="1:16" x14ac:dyDescent="0.2">
      <c r="A25" s="1" t="s">
        <v>68</v>
      </c>
      <c r="B25" s="1" t="s">
        <v>40</v>
      </c>
      <c r="C25" s="1" t="s">
        <v>41</v>
      </c>
      <c r="D25" s="1" t="s">
        <v>48</v>
      </c>
      <c r="E25" s="1" t="s">
        <v>38</v>
      </c>
      <c r="F25" s="1">
        <v>668699</v>
      </c>
      <c r="G25" s="1">
        <v>56</v>
      </c>
      <c r="H25" s="1">
        <v>490</v>
      </c>
      <c r="I25" s="1">
        <v>2.4900000000000002</v>
      </c>
      <c r="J25" s="1">
        <v>44152</v>
      </c>
      <c r="K25" s="1">
        <v>75146</v>
      </c>
      <c r="L25" s="1">
        <v>21.5</v>
      </c>
      <c r="M25" s="1" t="s">
        <v>35</v>
      </c>
      <c r="N25" s="1">
        <v>8.9</v>
      </c>
      <c r="O25" s="1">
        <v>187.6</v>
      </c>
      <c r="P25" s="1">
        <v>2026</v>
      </c>
    </row>
    <row r="26" spans="1:16" ht="27.75" x14ac:dyDescent="0.2">
      <c r="A26" s="1" t="s">
        <v>69</v>
      </c>
      <c r="B26" s="1" t="s">
        <v>50</v>
      </c>
      <c r="C26" s="1" t="s">
        <v>24</v>
      </c>
      <c r="D26" s="1" t="s">
        <v>59</v>
      </c>
      <c r="E26" s="1" t="s">
        <v>34</v>
      </c>
      <c r="F26" s="1">
        <v>82661</v>
      </c>
      <c r="G26" s="1">
        <v>46</v>
      </c>
      <c r="H26" s="1">
        <v>307</v>
      </c>
      <c r="I26" s="1">
        <v>2.63</v>
      </c>
      <c r="J26" s="1">
        <v>73621</v>
      </c>
      <c r="K26" s="1">
        <v>53409</v>
      </c>
      <c r="L26" s="1">
        <v>24.4</v>
      </c>
      <c r="M26" s="1" t="s">
        <v>21</v>
      </c>
      <c r="N26" s="1">
        <v>57.7</v>
      </c>
      <c r="O26" s="1">
        <v>82.7</v>
      </c>
      <c r="P26" s="1">
        <v>2026</v>
      </c>
    </row>
    <row r="27" spans="1:16" x14ac:dyDescent="0.2">
      <c r="A27" s="1" t="s">
        <v>70</v>
      </c>
      <c r="B27" s="1" t="s">
        <v>43</v>
      </c>
      <c r="C27" s="1" t="s">
        <v>18</v>
      </c>
      <c r="D27" s="1" t="s">
        <v>25</v>
      </c>
      <c r="E27" s="1" t="s">
        <v>38</v>
      </c>
      <c r="F27" s="1">
        <v>443610</v>
      </c>
      <c r="G27" s="1">
        <v>81</v>
      </c>
      <c r="H27" s="1">
        <v>342</v>
      </c>
      <c r="I27" s="1">
        <v>2.1</v>
      </c>
      <c r="J27" s="1">
        <v>176730</v>
      </c>
      <c r="K27" s="1">
        <v>62853</v>
      </c>
      <c r="L27" s="1">
        <v>23.5</v>
      </c>
      <c r="M27" s="1" t="s">
        <v>35</v>
      </c>
      <c r="N27" s="1">
        <v>16.2</v>
      </c>
      <c r="O27" s="1">
        <v>117.1</v>
      </c>
      <c r="P27" s="1">
        <v>2026</v>
      </c>
    </row>
    <row r="28" spans="1:16" x14ac:dyDescent="0.2">
      <c r="A28" s="1" t="s">
        <v>71</v>
      </c>
      <c r="B28" s="1" t="s">
        <v>43</v>
      </c>
      <c r="C28" s="1" t="s">
        <v>18</v>
      </c>
      <c r="D28" s="1" t="s">
        <v>48</v>
      </c>
      <c r="E28" s="1" t="s">
        <v>26</v>
      </c>
      <c r="F28" s="1">
        <v>847684</v>
      </c>
      <c r="G28" s="1">
        <v>50</v>
      </c>
      <c r="H28" s="1">
        <v>530</v>
      </c>
      <c r="I28" s="1">
        <v>2.41</v>
      </c>
      <c r="J28" s="1">
        <v>175662</v>
      </c>
      <c r="K28" s="1">
        <v>41440</v>
      </c>
      <c r="L28" s="1">
        <v>13.8</v>
      </c>
      <c r="M28" s="1" t="s">
        <v>21</v>
      </c>
      <c r="N28" s="1">
        <v>41</v>
      </c>
      <c r="O28" s="1">
        <v>187.7</v>
      </c>
      <c r="P28" s="1">
        <v>2026</v>
      </c>
    </row>
    <row r="29" spans="1:16" x14ac:dyDescent="0.2">
      <c r="A29" s="1" t="s">
        <v>72</v>
      </c>
      <c r="B29" s="1" t="s">
        <v>40</v>
      </c>
      <c r="C29" s="1" t="s">
        <v>41</v>
      </c>
      <c r="D29" s="1" t="s">
        <v>73</v>
      </c>
      <c r="E29" s="1" t="s">
        <v>26</v>
      </c>
      <c r="F29" s="1">
        <v>567517</v>
      </c>
      <c r="G29" s="1">
        <v>95</v>
      </c>
      <c r="H29" s="1">
        <v>634</v>
      </c>
      <c r="I29" s="1">
        <v>2.42</v>
      </c>
      <c r="J29" s="1">
        <v>32099</v>
      </c>
      <c r="K29" s="1">
        <v>36942</v>
      </c>
      <c r="L29" s="1">
        <v>21.1</v>
      </c>
      <c r="M29" s="1" t="s">
        <v>21</v>
      </c>
      <c r="N29" s="1">
        <v>41.6</v>
      </c>
      <c r="O29" s="1">
        <v>82.3</v>
      </c>
      <c r="P29" s="1">
        <v>2026</v>
      </c>
    </row>
    <row r="30" spans="1:16" x14ac:dyDescent="0.2">
      <c r="A30" s="1" t="s">
        <v>74</v>
      </c>
      <c r="B30" s="1" t="s">
        <v>28</v>
      </c>
      <c r="C30" s="1" t="s">
        <v>29</v>
      </c>
      <c r="D30" s="1" t="s">
        <v>48</v>
      </c>
      <c r="E30" s="1" t="s">
        <v>20</v>
      </c>
      <c r="F30" s="1">
        <v>593098</v>
      </c>
      <c r="G30" s="1">
        <v>69</v>
      </c>
      <c r="H30" s="1">
        <v>559</v>
      </c>
      <c r="I30" s="1">
        <v>2.14</v>
      </c>
      <c r="J30" s="1">
        <v>137770</v>
      </c>
      <c r="K30" s="1">
        <v>52392</v>
      </c>
      <c r="L30" s="1">
        <v>18.100000000000001</v>
      </c>
      <c r="M30" s="1" t="s">
        <v>21</v>
      </c>
      <c r="N30" s="1">
        <v>18.899999999999999</v>
      </c>
      <c r="O30" s="1">
        <v>294.7</v>
      </c>
      <c r="P30" s="1">
        <v>2026</v>
      </c>
    </row>
    <row r="31" spans="1:16" x14ac:dyDescent="0.2">
      <c r="A31" s="1" t="s">
        <v>75</v>
      </c>
      <c r="B31" s="1" t="s">
        <v>17</v>
      </c>
      <c r="C31" s="1" t="s">
        <v>18</v>
      </c>
      <c r="D31" s="1" t="s">
        <v>48</v>
      </c>
      <c r="E31" s="1" t="s">
        <v>34</v>
      </c>
      <c r="F31" s="1">
        <v>395710</v>
      </c>
      <c r="G31" s="1">
        <v>49</v>
      </c>
      <c r="H31" s="1">
        <v>304</v>
      </c>
      <c r="I31" s="1">
        <v>0.89</v>
      </c>
      <c r="J31" s="1">
        <v>185394</v>
      </c>
      <c r="K31" s="1">
        <v>47786</v>
      </c>
      <c r="L31" s="1">
        <v>24.7</v>
      </c>
      <c r="M31" s="1" t="s">
        <v>21</v>
      </c>
      <c r="N31" s="1">
        <v>44.7</v>
      </c>
      <c r="O31" s="1">
        <v>96.5</v>
      </c>
      <c r="P31" s="1">
        <v>2026</v>
      </c>
    </row>
    <row r="32" spans="1:16" x14ac:dyDescent="0.2">
      <c r="A32" s="1" t="s">
        <v>76</v>
      </c>
      <c r="B32" s="1" t="s">
        <v>67</v>
      </c>
      <c r="C32" s="1" t="s">
        <v>18</v>
      </c>
      <c r="D32" s="1" t="s">
        <v>59</v>
      </c>
      <c r="E32" s="1" t="s">
        <v>26</v>
      </c>
      <c r="F32" s="1">
        <v>771933</v>
      </c>
      <c r="G32" s="1">
        <v>74</v>
      </c>
      <c r="H32" s="1">
        <v>488</v>
      </c>
      <c r="I32" s="1">
        <v>0.76</v>
      </c>
      <c r="J32" s="1">
        <v>121130</v>
      </c>
      <c r="K32" s="1">
        <v>67707</v>
      </c>
      <c r="L32" s="1">
        <v>19.899999999999999</v>
      </c>
      <c r="M32" s="1" t="s">
        <v>21</v>
      </c>
      <c r="N32" s="1">
        <v>62.9</v>
      </c>
      <c r="O32" s="1">
        <v>78.099999999999994</v>
      </c>
      <c r="P32" s="1">
        <v>2026</v>
      </c>
    </row>
    <row r="33" spans="1:16" x14ac:dyDescent="0.2">
      <c r="A33" s="1" t="s">
        <v>77</v>
      </c>
      <c r="B33" s="1" t="s">
        <v>40</v>
      </c>
      <c r="C33" s="1" t="s">
        <v>41</v>
      </c>
      <c r="D33" s="1" t="s">
        <v>32</v>
      </c>
      <c r="E33" s="1" t="s">
        <v>34</v>
      </c>
      <c r="F33" s="1">
        <v>588978</v>
      </c>
      <c r="G33" s="1">
        <v>68</v>
      </c>
      <c r="H33" s="1">
        <v>499</v>
      </c>
      <c r="I33" s="1">
        <v>1.31</v>
      </c>
      <c r="J33" s="1">
        <v>86895</v>
      </c>
      <c r="K33" s="1">
        <v>36140</v>
      </c>
      <c r="L33" s="1">
        <v>16.2</v>
      </c>
      <c r="M33" s="1" t="s">
        <v>35</v>
      </c>
      <c r="N33" s="1">
        <v>61.9</v>
      </c>
      <c r="O33" s="1">
        <v>98.7</v>
      </c>
      <c r="P33" s="1">
        <v>2026</v>
      </c>
    </row>
    <row r="34" spans="1:16" x14ac:dyDescent="0.2">
      <c r="A34" s="1" t="s">
        <v>78</v>
      </c>
      <c r="B34" s="1" t="s">
        <v>53</v>
      </c>
      <c r="C34" s="1" t="s">
        <v>41</v>
      </c>
      <c r="D34" s="1" t="s">
        <v>30</v>
      </c>
      <c r="E34" s="1" t="s">
        <v>26</v>
      </c>
      <c r="F34" s="1">
        <v>395117</v>
      </c>
      <c r="G34" s="1">
        <v>112</v>
      </c>
      <c r="H34" s="1">
        <v>391</v>
      </c>
      <c r="I34" s="1">
        <v>1.36</v>
      </c>
      <c r="J34" s="1">
        <v>176015</v>
      </c>
      <c r="K34" s="1">
        <v>82567</v>
      </c>
      <c r="L34" s="1">
        <v>12.2</v>
      </c>
      <c r="M34" s="1" t="s">
        <v>35</v>
      </c>
      <c r="N34" s="1">
        <v>64.5</v>
      </c>
      <c r="O34" s="1">
        <v>174.9</v>
      </c>
      <c r="P34" s="1">
        <v>2026</v>
      </c>
    </row>
    <row r="35" spans="1:16" x14ac:dyDescent="0.2">
      <c r="A35" s="1" t="s">
        <v>79</v>
      </c>
      <c r="B35" s="1" t="s">
        <v>40</v>
      </c>
      <c r="C35" s="1" t="s">
        <v>41</v>
      </c>
      <c r="D35" s="1" t="s">
        <v>48</v>
      </c>
      <c r="E35" s="1" t="s">
        <v>38</v>
      </c>
      <c r="F35" s="1">
        <v>793142</v>
      </c>
      <c r="G35" s="1">
        <v>76</v>
      </c>
      <c r="H35" s="1">
        <v>622</v>
      </c>
      <c r="I35" s="1">
        <v>0.96</v>
      </c>
      <c r="J35" s="1">
        <v>148664</v>
      </c>
      <c r="K35" s="1">
        <v>70536</v>
      </c>
      <c r="L35" s="1">
        <v>24.1</v>
      </c>
      <c r="M35" s="1" t="s">
        <v>35</v>
      </c>
      <c r="N35" s="1">
        <v>32.700000000000003</v>
      </c>
      <c r="O35" s="1">
        <v>262.5</v>
      </c>
      <c r="P35" s="1">
        <v>2026</v>
      </c>
    </row>
    <row r="36" spans="1:16" ht="27.75" x14ac:dyDescent="0.2">
      <c r="A36" s="1" t="s">
        <v>80</v>
      </c>
      <c r="B36" s="1" t="s">
        <v>62</v>
      </c>
      <c r="C36" s="1" t="s">
        <v>41</v>
      </c>
      <c r="D36" s="1" t="s">
        <v>59</v>
      </c>
      <c r="E36" s="1" t="s">
        <v>34</v>
      </c>
      <c r="F36" s="1">
        <v>580855</v>
      </c>
      <c r="G36" s="1">
        <v>46</v>
      </c>
      <c r="H36" s="1">
        <v>440</v>
      </c>
      <c r="I36" s="1">
        <v>1.28</v>
      </c>
      <c r="J36" s="1">
        <v>150284</v>
      </c>
      <c r="K36" s="1">
        <v>47158</v>
      </c>
      <c r="L36" s="1">
        <v>21.8</v>
      </c>
      <c r="M36" s="1" t="s">
        <v>35</v>
      </c>
      <c r="N36" s="1">
        <v>23.5</v>
      </c>
      <c r="O36" s="1">
        <v>38.200000000000003</v>
      </c>
      <c r="P36" s="1">
        <v>2026</v>
      </c>
    </row>
    <row r="37" spans="1:16" ht="27.75" x14ac:dyDescent="0.2">
      <c r="A37" s="1" t="s">
        <v>81</v>
      </c>
      <c r="B37" s="1" t="s">
        <v>50</v>
      </c>
      <c r="C37" s="1" t="s">
        <v>24</v>
      </c>
      <c r="D37" s="1" t="s">
        <v>25</v>
      </c>
      <c r="E37" s="1" t="s">
        <v>38</v>
      </c>
      <c r="F37" s="1">
        <v>773922</v>
      </c>
      <c r="G37" s="1">
        <v>42</v>
      </c>
      <c r="H37" s="1">
        <v>376</v>
      </c>
      <c r="I37" s="1">
        <v>1.53</v>
      </c>
      <c r="J37" s="1">
        <v>39121</v>
      </c>
      <c r="K37" s="1">
        <v>45622</v>
      </c>
      <c r="L37" s="1">
        <v>24.3</v>
      </c>
      <c r="M37" s="1" t="s">
        <v>21</v>
      </c>
      <c r="N37" s="1">
        <v>25.4</v>
      </c>
      <c r="O37" s="1">
        <v>186.6</v>
      </c>
      <c r="P37" s="1">
        <v>2026</v>
      </c>
    </row>
    <row r="38" spans="1:16" ht="27.75" x14ac:dyDescent="0.2">
      <c r="A38" s="1" t="s">
        <v>82</v>
      </c>
      <c r="B38" s="1" t="s">
        <v>23</v>
      </c>
      <c r="C38" s="1" t="s">
        <v>24</v>
      </c>
      <c r="D38" s="1" t="s">
        <v>30</v>
      </c>
      <c r="E38" s="1" t="s">
        <v>38</v>
      </c>
      <c r="F38" s="1">
        <v>514877</v>
      </c>
      <c r="G38" s="1">
        <v>70</v>
      </c>
      <c r="H38" s="1">
        <v>471</v>
      </c>
      <c r="I38" s="1">
        <v>2.39</v>
      </c>
      <c r="J38" s="1">
        <v>179249</v>
      </c>
      <c r="K38" s="1">
        <v>46090</v>
      </c>
      <c r="L38" s="1">
        <v>24.3</v>
      </c>
      <c r="M38" s="1" t="s">
        <v>21</v>
      </c>
      <c r="N38" s="1">
        <v>9.5</v>
      </c>
      <c r="O38" s="1">
        <v>264.7</v>
      </c>
      <c r="P38" s="1">
        <v>2026</v>
      </c>
    </row>
    <row r="39" spans="1:16" x14ac:dyDescent="0.2">
      <c r="A39" s="1" t="s">
        <v>83</v>
      </c>
      <c r="B39" s="1" t="s">
        <v>40</v>
      </c>
      <c r="C39" s="1" t="s">
        <v>41</v>
      </c>
      <c r="D39" s="1" t="s">
        <v>46</v>
      </c>
      <c r="E39" s="1" t="s">
        <v>20</v>
      </c>
      <c r="F39" s="1">
        <v>286182</v>
      </c>
      <c r="G39" s="1">
        <v>100</v>
      </c>
      <c r="H39" s="1">
        <v>538</v>
      </c>
      <c r="I39" s="1">
        <v>2.35</v>
      </c>
      <c r="J39" s="1">
        <v>17469</v>
      </c>
      <c r="K39" s="1">
        <v>38284</v>
      </c>
      <c r="L39" s="1">
        <v>15.5</v>
      </c>
      <c r="M39" s="1" t="s">
        <v>21</v>
      </c>
      <c r="N39" s="1">
        <v>62.7</v>
      </c>
      <c r="O39" s="1">
        <v>148.6</v>
      </c>
      <c r="P39" s="1">
        <v>2026</v>
      </c>
    </row>
    <row r="40" spans="1:16" x14ac:dyDescent="0.2">
      <c r="A40" s="1" t="s">
        <v>84</v>
      </c>
      <c r="B40" s="1" t="s">
        <v>28</v>
      </c>
      <c r="C40" s="1" t="s">
        <v>29</v>
      </c>
      <c r="D40" s="1" t="s">
        <v>30</v>
      </c>
      <c r="E40" s="1" t="s">
        <v>20</v>
      </c>
      <c r="F40" s="1">
        <v>286708</v>
      </c>
      <c r="G40" s="1">
        <v>106</v>
      </c>
      <c r="H40" s="1">
        <v>439</v>
      </c>
      <c r="I40" s="1">
        <v>2.4</v>
      </c>
      <c r="J40" s="1">
        <v>134504</v>
      </c>
      <c r="K40" s="1">
        <v>61915</v>
      </c>
      <c r="L40" s="1">
        <v>20</v>
      </c>
      <c r="M40" s="1" t="s">
        <v>21</v>
      </c>
      <c r="N40" s="1">
        <v>57.4</v>
      </c>
      <c r="O40" s="1">
        <v>31.9</v>
      </c>
      <c r="P40" s="1">
        <v>2026</v>
      </c>
    </row>
    <row r="41" spans="1:16" x14ac:dyDescent="0.2">
      <c r="A41" s="1" t="s">
        <v>85</v>
      </c>
      <c r="B41" s="1" t="s">
        <v>40</v>
      </c>
      <c r="C41" s="1" t="s">
        <v>41</v>
      </c>
      <c r="D41" s="1" t="s">
        <v>59</v>
      </c>
      <c r="E41" s="1" t="s">
        <v>38</v>
      </c>
      <c r="F41" s="1">
        <v>70354</v>
      </c>
      <c r="G41" s="1">
        <v>58</v>
      </c>
      <c r="H41" s="1">
        <v>397</v>
      </c>
      <c r="I41" s="1">
        <v>2.85</v>
      </c>
      <c r="J41" s="1">
        <v>11586</v>
      </c>
      <c r="K41" s="1">
        <v>34423</v>
      </c>
      <c r="L41" s="1">
        <v>21</v>
      </c>
      <c r="M41" s="1" t="s">
        <v>35</v>
      </c>
      <c r="N41" s="1">
        <v>39.6</v>
      </c>
      <c r="O41" s="1">
        <v>191.2</v>
      </c>
      <c r="P41" s="1">
        <v>2026</v>
      </c>
    </row>
    <row r="42" spans="1:16" x14ac:dyDescent="0.2">
      <c r="A42" s="1" t="s">
        <v>86</v>
      </c>
      <c r="B42" s="1" t="s">
        <v>53</v>
      </c>
      <c r="C42" s="1" t="s">
        <v>41</v>
      </c>
      <c r="D42" s="1" t="s">
        <v>73</v>
      </c>
      <c r="E42" s="1" t="s">
        <v>34</v>
      </c>
      <c r="F42" s="1">
        <v>350824</v>
      </c>
      <c r="G42" s="1">
        <v>80</v>
      </c>
      <c r="H42" s="1">
        <v>296</v>
      </c>
      <c r="I42" s="1">
        <v>2.68</v>
      </c>
      <c r="J42" s="1">
        <v>43534</v>
      </c>
      <c r="K42" s="1">
        <v>45874</v>
      </c>
      <c r="L42" s="1">
        <v>19.2</v>
      </c>
      <c r="M42" s="1" t="s">
        <v>35</v>
      </c>
      <c r="N42" s="1">
        <v>7.5</v>
      </c>
      <c r="O42" s="1">
        <v>258.2</v>
      </c>
      <c r="P42" s="1">
        <v>2026</v>
      </c>
    </row>
    <row r="43" spans="1:16" x14ac:dyDescent="0.2">
      <c r="A43" s="1" t="s">
        <v>87</v>
      </c>
      <c r="B43" s="1" t="s">
        <v>53</v>
      </c>
      <c r="C43" s="1" t="s">
        <v>41</v>
      </c>
      <c r="D43" s="1" t="s">
        <v>37</v>
      </c>
      <c r="E43" s="1" t="s">
        <v>38</v>
      </c>
      <c r="F43" s="1">
        <v>847155</v>
      </c>
      <c r="G43" s="1">
        <v>52</v>
      </c>
      <c r="H43" s="1">
        <v>292</v>
      </c>
      <c r="I43" s="1">
        <v>2.92</v>
      </c>
      <c r="J43" s="1">
        <v>27177</v>
      </c>
      <c r="K43" s="1">
        <v>37555</v>
      </c>
      <c r="L43" s="1">
        <v>17.600000000000001</v>
      </c>
      <c r="M43" s="1" t="s">
        <v>35</v>
      </c>
      <c r="N43" s="1">
        <v>21.6</v>
      </c>
      <c r="O43" s="1">
        <v>63.6</v>
      </c>
      <c r="P43" s="1">
        <v>2026</v>
      </c>
    </row>
    <row r="44" spans="1:16" x14ac:dyDescent="0.2">
      <c r="A44" s="1" t="s">
        <v>88</v>
      </c>
      <c r="B44" s="1" t="s">
        <v>28</v>
      </c>
      <c r="C44" s="1" t="s">
        <v>29</v>
      </c>
      <c r="D44" s="1" t="s">
        <v>32</v>
      </c>
      <c r="E44" s="1" t="s">
        <v>34</v>
      </c>
      <c r="F44" s="1">
        <v>21380</v>
      </c>
      <c r="G44" s="1">
        <v>96</v>
      </c>
      <c r="H44" s="1">
        <v>508</v>
      </c>
      <c r="I44" s="1">
        <v>2.39</v>
      </c>
      <c r="J44" s="1">
        <v>131470</v>
      </c>
      <c r="K44" s="1">
        <v>79419</v>
      </c>
      <c r="L44" s="1">
        <v>24</v>
      </c>
      <c r="M44" s="1" t="s">
        <v>35</v>
      </c>
      <c r="N44" s="1">
        <v>13.1</v>
      </c>
      <c r="O44" s="1">
        <v>110.1</v>
      </c>
      <c r="P44" s="1">
        <v>2026</v>
      </c>
    </row>
    <row r="45" spans="1:16" x14ac:dyDescent="0.2">
      <c r="A45" s="1" t="s">
        <v>89</v>
      </c>
      <c r="B45" s="1" t="s">
        <v>28</v>
      </c>
      <c r="C45" s="1" t="s">
        <v>29</v>
      </c>
      <c r="D45" s="1" t="s">
        <v>37</v>
      </c>
      <c r="E45" s="1" t="s">
        <v>38</v>
      </c>
      <c r="F45" s="1">
        <v>688173</v>
      </c>
      <c r="G45" s="1">
        <v>96</v>
      </c>
      <c r="H45" s="1">
        <v>395</v>
      </c>
      <c r="I45" s="1">
        <v>1.29</v>
      </c>
      <c r="J45" s="1">
        <v>86443</v>
      </c>
      <c r="K45" s="1">
        <v>77793</v>
      </c>
      <c r="L45" s="1">
        <v>15.4</v>
      </c>
      <c r="M45" s="1" t="s">
        <v>21</v>
      </c>
      <c r="N45" s="1">
        <v>47</v>
      </c>
      <c r="O45" s="1">
        <v>82.7</v>
      </c>
      <c r="P45" s="1">
        <v>2026</v>
      </c>
    </row>
    <row r="46" spans="1:16" x14ac:dyDescent="0.2">
      <c r="A46" s="1" t="s">
        <v>90</v>
      </c>
      <c r="B46" s="1" t="s">
        <v>40</v>
      </c>
      <c r="C46" s="1" t="s">
        <v>41</v>
      </c>
      <c r="D46" s="1" t="s">
        <v>37</v>
      </c>
      <c r="E46" s="1" t="s">
        <v>34</v>
      </c>
      <c r="F46" s="1">
        <v>664493</v>
      </c>
      <c r="G46" s="1">
        <v>75</v>
      </c>
      <c r="H46" s="1">
        <v>578</v>
      </c>
      <c r="I46" s="1">
        <v>0.71</v>
      </c>
      <c r="J46" s="1">
        <v>116447</v>
      </c>
      <c r="K46" s="1">
        <v>29698</v>
      </c>
      <c r="L46" s="1">
        <v>20.6</v>
      </c>
      <c r="M46" s="1" t="s">
        <v>21</v>
      </c>
      <c r="N46" s="1">
        <v>8.1999999999999993</v>
      </c>
      <c r="O46" s="1">
        <v>237.3</v>
      </c>
      <c r="P46" s="1">
        <v>2026</v>
      </c>
    </row>
    <row r="47" spans="1:16" ht="27.75" x14ac:dyDescent="0.2">
      <c r="A47" s="1" t="s">
        <v>91</v>
      </c>
      <c r="B47" s="1" t="s">
        <v>23</v>
      </c>
      <c r="C47" s="1" t="s">
        <v>24</v>
      </c>
      <c r="D47" s="1" t="s">
        <v>46</v>
      </c>
      <c r="E47" s="1" t="s">
        <v>38</v>
      </c>
      <c r="F47" s="1">
        <v>876218</v>
      </c>
      <c r="G47" s="1">
        <v>101</v>
      </c>
      <c r="H47" s="1">
        <v>263</v>
      </c>
      <c r="I47" s="1">
        <v>1.04</v>
      </c>
      <c r="J47" s="1">
        <v>166552</v>
      </c>
      <c r="K47" s="1">
        <v>27478</v>
      </c>
      <c r="L47" s="1">
        <v>15.1</v>
      </c>
      <c r="M47" s="1" t="s">
        <v>35</v>
      </c>
      <c r="N47" s="1">
        <v>60.2</v>
      </c>
      <c r="O47" s="1">
        <v>163.9</v>
      </c>
      <c r="P47" s="1">
        <v>2026</v>
      </c>
    </row>
    <row r="48" spans="1:16" ht="27.75" x14ac:dyDescent="0.2">
      <c r="A48" s="1" t="s">
        <v>92</v>
      </c>
      <c r="B48" s="1" t="s">
        <v>23</v>
      </c>
      <c r="C48" s="1" t="s">
        <v>24</v>
      </c>
      <c r="D48" s="1" t="s">
        <v>46</v>
      </c>
      <c r="E48" s="1" t="s">
        <v>26</v>
      </c>
      <c r="F48" s="1">
        <v>622503</v>
      </c>
      <c r="G48" s="1">
        <v>71</v>
      </c>
      <c r="H48" s="1">
        <v>548</v>
      </c>
      <c r="I48" s="1">
        <v>2.3199999999999998</v>
      </c>
      <c r="J48" s="1">
        <v>162620</v>
      </c>
      <c r="K48" s="1">
        <v>37722</v>
      </c>
      <c r="L48" s="1">
        <v>22.7</v>
      </c>
      <c r="M48" s="1" t="s">
        <v>35</v>
      </c>
      <c r="N48" s="1">
        <v>50.7</v>
      </c>
      <c r="O48" s="1">
        <v>81.900000000000006</v>
      </c>
      <c r="P48" s="1">
        <v>2026</v>
      </c>
    </row>
    <row r="49" spans="1:16" x14ac:dyDescent="0.2">
      <c r="A49" s="1" t="s">
        <v>93</v>
      </c>
      <c r="B49" s="1" t="s">
        <v>17</v>
      </c>
      <c r="C49" s="1" t="s">
        <v>18</v>
      </c>
      <c r="D49" s="1" t="s">
        <v>25</v>
      </c>
      <c r="E49" s="1" t="s">
        <v>38</v>
      </c>
      <c r="F49" s="1">
        <v>96400</v>
      </c>
      <c r="G49" s="1">
        <v>45</v>
      </c>
      <c r="H49" s="1">
        <v>629</v>
      </c>
      <c r="I49" s="1">
        <v>2.67</v>
      </c>
      <c r="J49" s="1">
        <v>1829</v>
      </c>
      <c r="K49" s="1">
        <v>69376</v>
      </c>
      <c r="L49" s="1">
        <v>23.8</v>
      </c>
      <c r="M49" s="1" t="s">
        <v>35</v>
      </c>
      <c r="N49" s="1">
        <v>48.5</v>
      </c>
      <c r="O49" s="1">
        <v>190</v>
      </c>
      <c r="P49" s="1">
        <v>2026</v>
      </c>
    </row>
    <row r="50" spans="1:16" ht="27.75" x14ac:dyDescent="0.2">
      <c r="A50" s="1" t="s">
        <v>94</v>
      </c>
      <c r="B50" s="1" t="s">
        <v>50</v>
      </c>
      <c r="C50" s="1" t="s">
        <v>24</v>
      </c>
      <c r="D50" s="1" t="s">
        <v>32</v>
      </c>
      <c r="E50" s="1" t="s">
        <v>38</v>
      </c>
      <c r="F50" s="1">
        <v>194579</v>
      </c>
      <c r="G50" s="1">
        <v>103</v>
      </c>
      <c r="H50" s="1">
        <v>446</v>
      </c>
      <c r="I50" s="1">
        <v>2.84</v>
      </c>
      <c r="J50" s="1">
        <v>55276</v>
      </c>
      <c r="K50" s="1">
        <v>74595</v>
      </c>
      <c r="L50" s="1">
        <v>12.9</v>
      </c>
      <c r="M50" s="1" t="s">
        <v>35</v>
      </c>
      <c r="N50" s="1">
        <v>29.2</v>
      </c>
      <c r="O50" s="1">
        <v>279.5</v>
      </c>
      <c r="P50" s="1">
        <v>2026</v>
      </c>
    </row>
    <row r="51" spans="1:16" x14ac:dyDescent="0.2">
      <c r="A51" s="1" t="s">
        <v>95</v>
      </c>
      <c r="B51" s="1" t="s">
        <v>17</v>
      </c>
      <c r="C51" s="1" t="s">
        <v>18</v>
      </c>
      <c r="D51" s="1" t="s">
        <v>59</v>
      </c>
      <c r="E51" s="1" t="s">
        <v>38</v>
      </c>
      <c r="F51" s="1">
        <v>42529</v>
      </c>
      <c r="G51" s="1">
        <v>113</v>
      </c>
      <c r="H51" s="1">
        <v>414</v>
      </c>
      <c r="I51" s="1">
        <v>1.83</v>
      </c>
      <c r="J51" s="1">
        <v>68335</v>
      </c>
      <c r="K51" s="1">
        <v>43125</v>
      </c>
      <c r="L51" s="1">
        <v>22.4</v>
      </c>
      <c r="M51" s="1" t="s">
        <v>35</v>
      </c>
      <c r="N51" s="1">
        <v>63.8</v>
      </c>
      <c r="O51" s="1">
        <v>209</v>
      </c>
      <c r="P51" s="1">
        <v>2026</v>
      </c>
    </row>
    <row r="52" spans="1:16" ht="27.75" x14ac:dyDescent="0.2">
      <c r="A52" s="1" t="s">
        <v>96</v>
      </c>
      <c r="B52" s="1" t="s">
        <v>23</v>
      </c>
      <c r="C52" s="1" t="s">
        <v>24</v>
      </c>
      <c r="D52" s="1" t="s">
        <v>37</v>
      </c>
      <c r="E52" s="1" t="s">
        <v>20</v>
      </c>
      <c r="F52" s="1">
        <v>647861</v>
      </c>
      <c r="G52" s="1">
        <v>45</v>
      </c>
      <c r="H52" s="1">
        <v>292</v>
      </c>
      <c r="I52" s="1">
        <v>2.99</v>
      </c>
      <c r="J52" s="1">
        <v>155459</v>
      </c>
      <c r="K52" s="1">
        <v>68652</v>
      </c>
      <c r="L52" s="1">
        <v>14.7</v>
      </c>
      <c r="M52" s="1" t="s">
        <v>35</v>
      </c>
      <c r="N52" s="1">
        <v>22.7</v>
      </c>
      <c r="O52" s="1">
        <v>109.2</v>
      </c>
      <c r="P52" s="1">
        <v>2026</v>
      </c>
    </row>
    <row r="53" spans="1:16" x14ac:dyDescent="0.2">
      <c r="A53" s="1" t="s">
        <v>97</v>
      </c>
      <c r="B53" s="1" t="s">
        <v>43</v>
      </c>
      <c r="C53" s="1" t="s">
        <v>18</v>
      </c>
      <c r="D53" s="1" t="s">
        <v>44</v>
      </c>
      <c r="E53" s="1" t="s">
        <v>38</v>
      </c>
      <c r="F53" s="1">
        <v>479628</v>
      </c>
      <c r="G53" s="1">
        <v>60</v>
      </c>
      <c r="H53" s="1">
        <v>346</v>
      </c>
      <c r="I53" s="1">
        <v>2.15</v>
      </c>
      <c r="J53" s="1">
        <v>126283</v>
      </c>
      <c r="K53" s="1">
        <v>36993</v>
      </c>
      <c r="L53" s="1">
        <v>13.6</v>
      </c>
      <c r="M53" s="1" t="s">
        <v>35</v>
      </c>
      <c r="N53" s="1">
        <v>50</v>
      </c>
      <c r="O53" s="1">
        <v>159.1</v>
      </c>
      <c r="P53" s="1">
        <v>2026</v>
      </c>
    </row>
    <row r="54" spans="1:16" x14ac:dyDescent="0.2">
      <c r="A54" s="1" t="s">
        <v>98</v>
      </c>
      <c r="B54" s="1" t="s">
        <v>43</v>
      </c>
      <c r="C54" s="1" t="s">
        <v>18</v>
      </c>
      <c r="D54" s="1" t="s">
        <v>32</v>
      </c>
      <c r="E54" s="1" t="s">
        <v>20</v>
      </c>
      <c r="F54" s="1">
        <v>400267</v>
      </c>
      <c r="G54" s="1">
        <v>110</v>
      </c>
      <c r="H54" s="1">
        <v>339</v>
      </c>
      <c r="I54" s="1">
        <v>1.81</v>
      </c>
      <c r="J54" s="1">
        <v>184748</v>
      </c>
      <c r="K54" s="1">
        <v>62267</v>
      </c>
      <c r="L54" s="1">
        <v>13.6</v>
      </c>
      <c r="M54" s="1" t="s">
        <v>21</v>
      </c>
      <c r="N54" s="1">
        <v>32.1</v>
      </c>
      <c r="O54" s="1">
        <v>78</v>
      </c>
      <c r="P54" s="1">
        <v>2026</v>
      </c>
    </row>
    <row r="55" spans="1:16" x14ac:dyDescent="0.2">
      <c r="A55" s="1" t="s">
        <v>99</v>
      </c>
      <c r="B55" s="1" t="s">
        <v>53</v>
      </c>
      <c r="C55" s="1" t="s">
        <v>41</v>
      </c>
      <c r="D55" s="1" t="s">
        <v>25</v>
      </c>
      <c r="E55" s="1" t="s">
        <v>38</v>
      </c>
      <c r="F55" s="1">
        <v>76911</v>
      </c>
      <c r="G55" s="1">
        <v>72</v>
      </c>
      <c r="H55" s="1">
        <v>406</v>
      </c>
      <c r="I55" s="1">
        <v>1.1200000000000001</v>
      </c>
      <c r="J55" s="1">
        <v>47805</v>
      </c>
      <c r="K55" s="1">
        <v>60359</v>
      </c>
      <c r="L55" s="1">
        <v>19.100000000000001</v>
      </c>
      <c r="M55" s="1" t="s">
        <v>35</v>
      </c>
      <c r="N55" s="1">
        <v>63.4</v>
      </c>
      <c r="O55" s="1">
        <v>13.5</v>
      </c>
      <c r="P55" s="1">
        <v>2026</v>
      </c>
    </row>
    <row r="56" spans="1:16" ht="27.75" x14ac:dyDescent="0.2">
      <c r="A56" s="1" t="s">
        <v>100</v>
      </c>
      <c r="B56" s="1" t="s">
        <v>62</v>
      </c>
      <c r="C56" s="1" t="s">
        <v>41</v>
      </c>
      <c r="D56" s="1" t="s">
        <v>73</v>
      </c>
      <c r="E56" s="1" t="s">
        <v>38</v>
      </c>
      <c r="F56" s="1">
        <v>659302</v>
      </c>
      <c r="G56" s="1">
        <v>91</v>
      </c>
      <c r="H56" s="1">
        <v>550</v>
      </c>
      <c r="I56" s="1">
        <v>1.08</v>
      </c>
      <c r="J56" s="1">
        <v>86208</v>
      </c>
      <c r="K56" s="1">
        <v>48453</v>
      </c>
      <c r="L56" s="1">
        <v>20.100000000000001</v>
      </c>
      <c r="M56" s="1" t="s">
        <v>35</v>
      </c>
      <c r="N56" s="1">
        <v>60.5</v>
      </c>
      <c r="O56" s="1">
        <v>204.3</v>
      </c>
      <c r="P56" s="1">
        <v>2026</v>
      </c>
    </row>
    <row r="57" spans="1:16" ht="27.75" x14ac:dyDescent="0.2">
      <c r="A57" s="1" t="s">
        <v>101</v>
      </c>
      <c r="B57" s="1" t="s">
        <v>62</v>
      </c>
      <c r="C57" s="1" t="s">
        <v>41</v>
      </c>
      <c r="D57" s="1" t="s">
        <v>37</v>
      </c>
      <c r="E57" s="1" t="s">
        <v>26</v>
      </c>
      <c r="F57" s="1">
        <v>480452</v>
      </c>
      <c r="G57" s="1">
        <v>54</v>
      </c>
      <c r="H57" s="1">
        <v>558</v>
      </c>
      <c r="I57" s="1">
        <v>0.66</v>
      </c>
      <c r="J57" s="1">
        <v>169602</v>
      </c>
      <c r="K57" s="1">
        <v>72909</v>
      </c>
      <c r="L57" s="1">
        <v>23.4</v>
      </c>
      <c r="M57" s="1" t="s">
        <v>21</v>
      </c>
      <c r="N57" s="1">
        <v>63.1</v>
      </c>
      <c r="O57" s="1">
        <v>244.4</v>
      </c>
      <c r="P57" s="1">
        <v>2026</v>
      </c>
    </row>
    <row r="58" spans="1:16" x14ac:dyDescent="0.2">
      <c r="A58" s="1" t="s">
        <v>102</v>
      </c>
      <c r="B58" s="1" t="s">
        <v>40</v>
      </c>
      <c r="C58" s="1" t="s">
        <v>41</v>
      </c>
      <c r="D58" s="1" t="s">
        <v>73</v>
      </c>
      <c r="E58" s="1" t="s">
        <v>38</v>
      </c>
      <c r="F58" s="1">
        <v>872037</v>
      </c>
      <c r="G58" s="1">
        <v>46</v>
      </c>
      <c r="H58" s="1">
        <v>528</v>
      </c>
      <c r="I58" s="1">
        <v>1.48</v>
      </c>
      <c r="J58" s="1">
        <v>185518</v>
      </c>
      <c r="K58" s="1">
        <v>37260</v>
      </c>
      <c r="L58" s="1">
        <v>14.8</v>
      </c>
      <c r="M58" s="1" t="s">
        <v>35</v>
      </c>
      <c r="N58" s="1">
        <v>49.1</v>
      </c>
      <c r="O58" s="1">
        <v>110.4</v>
      </c>
      <c r="P58" s="1">
        <v>2026</v>
      </c>
    </row>
    <row r="59" spans="1:16" x14ac:dyDescent="0.2">
      <c r="A59" s="1" t="s">
        <v>103</v>
      </c>
      <c r="B59" s="1" t="s">
        <v>67</v>
      </c>
      <c r="C59" s="1" t="s">
        <v>18</v>
      </c>
      <c r="D59" s="1" t="s">
        <v>73</v>
      </c>
      <c r="E59" s="1" t="s">
        <v>38</v>
      </c>
      <c r="F59" s="1">
        <v>346781</v>
      </c>
      <c r="G59" s="1">
        <v>120</v>
      </c>
      <c r="H59" s="1">
        <v>500</v>
      </c>
      <c r="I59" s="1">
        <v>1.1599999999999999</v>
      </c>
      <c r="J59" s="1">
        <v>85522</v>
      </c>
      <c r="K59" s="1">
        <v>56553</v>
      </c>
      <c r="L59" s="1">
        <v>13.1</v>
      </c>
      <c r="M59" s="1" t="s">
        <v>21</v>
      </c>
      <c r="N59" s="1">
        <v>37.299999999999997</v>
      </c>
      <c r="O59" s="1">
        <v>190.1</v>
      </c>
      <c r="P59" s="1">
        <v>2026</v>
      </c>
    </row>
    <row r="60" spans="1:16" x14ac:dyDescent="0.2">
      <c r="A60" s="1" t="s">
        <v>104</v>
      </c>
      <c r="B60" s="1" t="s">
        <v>67</v>
      </c>
      <c r="C60" s="1" t="s">
        <v>18</v>
      </c>
      <c r="D60" s="1" t="s">
        <v>59</v>
      </c>
      <c r="E60" s="1" t="s">
        <v>26</v>
      </c>
      <c r="F60" s="1">
        <v>511635</v>
      </c>
      <c r="G60" s="1">
        <v>46</v>
      </c>
      <c r="H60" s="1">
        <v>542</v>
      </c>
      <c r="I60" s="1">
        <v>2.37</v>
      </c>
      <c r="J60" s="1">
        <v>28359</v>
      </c>
      <c r="K60" s="1">
        <v>48335</v>
      </c>
      <c r="L60" s="1">
        <v>23</v>
      </c>
      <c r="M60" s="1" t="s">
        <v>35</v>
      </c>
      <c r="N60" s="1">
        <v>18.8</v>
      </c>
      <c r="O60" s="1">
        <v>125.5</v>
      </c>
      <c r="P60" s="1">
        <v>2026</v>
      </c>
    </row>
    <row r="61" spans="1:16" ht="27.75" x14ac:dyDescent="0.2">
      <c r="A61" s="1" t="s">
        <v>105</v>
      </c>
      <c r="B61" s="1" t="s">
        <v>50</v>
      </c>
      <c r="C61" s="1" t="s">
        <v>24</v>
      </c>
      <c r="D61" s="1" t="s">
        <v>37</v>
      </c>
      <c r="E61" s="1" t="s">
        <v>38</v>
      </c>
      <c r="F61" s="1">
        <v>523006</v>
      </c>
      <c r="G61" s="1">
        <v>100</v>
      </c>
      <c r="H61" s="1">
        <v>433</v>
      </c>
      <c r="I61" s="1">
        <v>1.97</v>
      </c>
      <c r="J61" s="1">
        <v>82049</v>
      </c>
      <c r="K61" s="1">
        <v>82242</v>
      </c>
      <c r="L61" s="1">
        <v>21.8</v>
      </c>
      <c r="M61" s="1" t="s">
        <v>21</v>
      </c>
      <c r="N61" s="1">
        <v>37.9</v>
      </c>
      <c r="O61" s="1">
        <v>108.8</v>
      </c>
      <c r="P61" s="1">
        <v>2026</v>
      </c>
    </row>
    <row r="62" spans="1:16" ht="27.75" x14ac:dyDescent="0.2">
      <c r="A62" s="1" t="s">
        <v>106</v>
      </c>
      <c r="B62" s="1" t="s">
        <v>62</v>
      </c>
      <c r="C62" s="1" t="s">
        <v>41</v>
      </c>
      <c r="D62" s="1" t="s">
        <v>59</v>
      </c>
      <c r="E62" s="1" t="s">
        <v>38</v>
      </c>
      <c r="F62" s="1">
        <v>222241</v>
      </c>
      <c r="G62" s="1">
        <v>41</v>
      </c>
      <c r="H62" s="1">
        <v>470</v>
      </c>
      <c r="I62" s="1">
        <v>2.91</v>
      </c>
      <c r="J62" s="1">
        <v>133064</v>
      </c>
      <c r="K62" s="1">
        <v>68680</v>
      </c>
      <c r="L62" s="1">
        <v>22.9</v>
      </c>
      <c r="M62" s="1" t="s">
        <v>35</v>
      </c>
      <c r="N62" s="1">
        <v>10.5</v>
      </c>
      <c r="O62" s="1">
        <v>78.099999999999994</v>
      </c>
      <c r="P62" s="1">
        <v>2026</v>
      </c>
    </row>
    <row r="63" spans="1:16" ht="27.75" x14ac:dyDescent="0.2">
      <c r="A63" s="1" t="s">
        <v>107</v>
      </c>
      <c r="B63" s="1" t="s">
        <v>23</v>
      </c>
      <c r="C63" s="1" t="s">
        <v>24</v>
      </c>
      <c r="D63" s="1" t="s">
        <v>32</v>
      </c>
      <c r="E63" s="1" t="s">
        <v>26</v>
      </c>
      <c r="F63" s="1">
        <v>690944</v>
      </c>
      <c r="G63" s="1">
        <v>109</v>
      </c>
      <c r="H63" s="1">
        <v>368</v>
      </c>
      <c r="I63" s="1">
        <v>2.02</v>
      </c>
      <c r="J63" s="1">
        <v>8283</v>
      </c>
      <c r="K63" s="1">
        <v>42692</v>
      </c>
      <c r="L63" s="1">
        <v>15.4</v>
      </c>
      <c r="M63" s="1" t="s">
        <v>21</v>
      </c>
      <c r="N63" s="1">
        <v>15.4</v>
      </c>
      <c r="O63" s="1">
        <v>44.5</v>
      </c>
      <c r="P63" s="1">
        <v>2026</v>
      </c>
    </row>
    <row r="64" spans="1:16" ht="27.75" x14ac:dyDescent="0.2">
      <c r="A64" s="1" t="s">
        <v>108</v>
      </c>
      <c r="B64" s="1" t="s">
        <v>23</v>
      </c>
      <c r="C64" s="1" t="s">
        <v>24</v>
      </c>
      <c r="D64" s="1" t="s">
        <v>32</v>
      </c>
      <c r="E64" s="1" t="s">
        <v>38</v>
      </c>
      <c r="F64" s="1">
        <v>748100</v>
      </c>
      <c r="G64" s="1">
        <v>118</v>
      </c>
      <c r="H64" s="1">
        <v>583</v>
      </c>
      <c r="I64" s="1">
        <v>2.4</v>
      </c>
      <c r="J64" s="1">
        <v>132569</v>
      </c>
      <c r="K64" s="1">
        <v>82187</v>
      </c>
      <c r="L64" s="1">
        <v>12.4</v>
      </c>
      <c r="M64" s="1" t="s">
        <v>35</v>
      </c>
      <c r="N64" s="1">
        <v>40.9</v>
      </c>
      <c r="O64" s="1">
        <v>33</v>
      </c>
      <c r="P64" s="1">
        <v>2026</v>
      </c>
    </row>
    <row r="65" spans="1:16" x14ac:dyDescent="0.2">
      <c r="A65" s="1" t="s">
        <v>109</v>
      </c>
      <c r="B65" s="1" t="s">
        <v>43</v>
      </c>
      <c r="C65" s="1" t="s">
        <v>18</v>
      </c>
      <c r="D65" s="1" t="s">
        <v>19</v>
      </c>
      <c r="E65" s="1" t="s">
        <v>34</v>
      </c>
      <c r="F65" s="1">
        <v>537297</v>
      </c>
      <c r="G65" s="1">
        <v>72</v>
      </c>
      <c r="H65" s="1">
        <v>581</v>
      </c>
      <c r="I65" s="1">
        <v>2.0099999999999998</v>
      </c>
      <c r="J65" s="1">
        <v>100011</v>
      </c>
      <c r="K65" s="1">
        <v>38324</v>
      </c>
      <c r="L65" s="1">
        <v>17.8</v>
      </c>
      <c r="M65" s="1" t="s">
        <v>35</v>
      </c>
      <c r="N65" s="1">
        <v>41.6</v>
      </c>
      <c r="O65" s="1">
        <v>207.5</v>
      </c>
      <c r="P65" s="1">
        <v>2026</v>
      </c>
    </row>
    <row r="66" spans="1:16" ht="27.75" x14ac:dyDescent="0.2">
      <c r="A66" s="1" t="s">
        <v>110</v>
      </c>
      <c r="B66" s="1" t="s">
        <v>23</v>
      </c>
      <c r="C66" s="1" t="s">
        <v>24</v>
      </c>
      <c r="D66" s="1" t="s">
        <v>25</v>
      </c>
      <c r="E66" s="1" t="s">
        <v>34</v>
      </c>
      <c r="F66" s="1">
        <v>59534</v>
      </c>
      <c r="G66" s="1">
        <v>75</v>
      </c>
      <c r="H66" s="1">
        <v>534</v>
      </c>
      <c r="I66" s="1">
        <v>1.86</v>
      </c>
      <c r="J66" s="1">
        <v>173764</v>
      </c>
      <c r="K66" s="1">
        <v>84946</v>
      </c>
      <c r="L66" s="1">
        <v>23.5</v>
      </c>
      <c r="M66" s="1" t="s">
        <v>21</v>
      </c>
      <c r="N66" s="1">
        <v>20.2</v>
      </c>
      <c r="O66" s="1">
        <v>98.1</v>
      </c>
      <c r="P66" s="1">
        <v>2026</v>
      </c>
    </row>
    <row r="67" spans="1:16" x14ac:dyDescent="0.2">
      <c r="A67" s="1" t="s">
        <v>111</v>
      </c>
      <c r="B67" s="1" t="s">
        <v>56</v>
      </c>
      <c r="C67" s="1" t="s">
        <v>41</v>
      </c>
      <c r="D67" s="1" t="s">
        <v>25</v>
      </c>
      <c r="E67" s="1" t="s">
        <v>20</v>
      </c>
      <c r="F67" s="1">
        <v>266038</v>
      </c>
      <c r="G67" s="1">
        <v>66</v>
      </c>
      <c r="H67" s="1">
        <v>436</v>
      </c>
      <c r="I67" s="1">
        <v>0.73</v>
      </c>
      <c r="J67" s="1">
        <v>55612</v>
      </c>
      <c r="K67" s="1">
        <v>68911</v>
      </c>
      <c r="L67" s="1">
        <v>17.100000000000001</v>
      </c>
      <c r="M67" s="1" t="s">
        <v>35</v>
      </c>
      <c r="N67" s="1">
        <v>37.6</v>
      </c>
      <c r="O67" s="1">
        <v>217.1</v>
      </c>
      <c r="P67" s="1">
        <v>2026</v>
      </c>
    </row>
    <row r="68" spans="1:16" x14ac:dyDescent="0.2">
      <c r="A68" s="1" t="s">
        <v>112</v>
      </c>
      <c r="B68" s="1" t="s">
        <v>28</v>
      </c>
      <c r="C68" s="1" t="s">
        <v>29</v>
      </c>
      <c r="D68" s="1" t="s">
        <v>46</v>
      </c>
      <c r="E68" s="1" t="s">
        <v>38</v>
      </c>
      <c r="F68" s="1">
        <v>780017</v>
      </c>
      <c r="G68" s="1">
        <v>47</v>
      </c>
      <c r="H68" s="1">
        <v>467</v>
      </c>
      <c r="I68" s="1">
        <v>2.19</v>
      </c>
      <c r="J68" s="1">
        <v>53273</v>
      </c>
      <c r="K68" s="1">
        <v>40719</v>
      </c>
      <c r="L68" s="1">
        <v>23.5</v>
      </c>
      <c r="M68" s="1" t="s">
        <v>21</v>
      </c>
      <c r="N68" s="1">
        <v>47</v>
      </c>
      <c r="O68" s="1">
        <v>143.1</v>
      </c>
      <c r="P68" s="1">
        <v>2026</v>
      </c>
    </row>
    <row r="69" spans="1:16" x14ac:dyDescent="0.2">
      <c r="A69" s="1" t="s">
        <v>113</v>
      </c>
      <c r="B69" s="1" t="s">
        <v>40</v>
      </c>
      <c r="C69" s="1" t="s">
        <v>41</v>
      </c>
      <c r="D69" s="1" t="s">
        <v>19</v>
      </c>
      <c r="E69" s="1" t="s">
        <v>26</v>
      </c>
      <c r="F69" s="1">
        <v>497519</v>
      </c>
      <c r="G69" s="1">
        <v>104</v>
      </c>
      <c r="H69" s="1">
        <v>333</v>
      </c>
      <c r="I69" s="1">
        <v>2.81</v>
      </c>
      <c r="J69" s="1">
        <v>43491</v>
      </c>
      <c r="K69" s="1">
        <v>65327</v>
      </c>
      <c r="L69" s="1">
        <v>20</v>
      </c>
      <c r="M69" s="1" t="s">
        <v>21</v>
      </c>
      <c r="N69" s="1">
        <v>33.700000000000003</v>
      </c>
      <c r="O69" s="1">
        <v>31.8</v>
      </c>
      <c r="P69" s="1">
        <v>2026</v>
      </c>
    </row>
    <row r="70" spans="1:16" ht="27.75" x14ac:dyDescent="0.2">
      <c r="A70" s="1" t="s">
        <v>114</v>
      </c>
      <c r="B70" s="1" t="s">
        <v>23</v>
      </c>
      <c r="C70" s="1" t="s">
        <v>24</v>
      </c>
      <c r="D70" s="1" t="s">
        <v>48</v>
      </c>
      <c r="E70" s="1" t="s">
        <v>34</v>
      </c>
      <c r="F70" s="1">
        <v>692796</v>
      </c>
      <c r="G70" s="1">
        <v>51</v>
      </c>
      <c r="H70" s="1">
        <v>280</v>
      </c>
      <c r="I70" s="1">
        <v>1.86</v>
      </c>
      <c r="J70" s="1">
        <v>11787</v>
      </c>
      <c r="K70" s="1">
        <v>64538</v>
      </c>
      <c r="L70" s="1">
        <v>20.5</v>
      </c>
      <c r="M70" s="1" t="s">
        <v>21</v>
      </c>
      <c r="N70" s="1">
        <v>48.2</v>
      </c>
      <c r="O70" s="1">
        <v>261.10000000000002</v>
      </c>
      <c r="P70" s="1">
        <v>2026</v>
      </c>
    </row>
    <row r="71" spans="1:16" x14ac:dyDescent="0.2">
      <c r="A71" s="1" t="s">
        <v>115</v>
      </c>
      <c r="B71" s="1" t="s">
        <v>28</v>
      </c>
      <c r="C71" s="1" t="s">
        <v>29</v>
      </c>
      <c r="D71" s="1" t="s">
        <v>44</v>
      </c>
      <c r="E71" s="1" t="s">
        <v>20</v>
      </c>
      <c r="F71" s="1">
        <v>458649</v>
      </c>
      <c r="G71" s="1">
        <v>92</v>
      </c>
      <c r="H71" s="1">
        <v>364</v>
      </c>
      <c r="I71" s="1">
        <v>1.61</v>
      </c>
      <c r="J71" s="1">
        <v>162207</v>
      </c>
      <c r="K71" s="1">
        <v>31712</v>
      </c>
      <c r="L71" s="1">
        <v>20.7</v>
      </c>
      <c r="M71" s="1" t="s">
        <v>35</v>
      </c>
      <c r="N71" s="1">
        <v>51.4</v>
      </c>
      <c r="O71" s="1">
        <v>254.7</v>
      </c>
      <c r="P71" s="1">
        <v>2026</v>
      </c>
    </row>
    <row r="72" spans="1:16" x14ac:dyDescent="0.2">
      <c r="A72" s="1" t="s">
        <v>116</v>
      </c>
      <c r="B72" s="1" t="s">
        <v>28</v>
      </c>
      <c r="C72" s="1" t="s">
        <v>29</v>
      </c>
      <c r="D72" s="1" t="s">
        <v>59</v>
      </c>
      <c r="E72" s="1" t="s">
        <v>26</v>
      </c>
      <c r="F72" s="1">
        <v>317687</v>
      </c>
      <c r="G72" s="1">
        <v>41</v>
      </c>
      <c r="H72" s="1">
        <v>258</v>
      </c>
      <c r="I72" s="1">
        <v>2.06</v>
      </c>
      <c r="J72" s="1">
        <v>182238</v>
      </c>
      <c r="K72" s="1">
        <v>27827</v>
      </c>
      <c r="L72" s="1">
        <v>19.3</v>
      </c>
      <c r="M72" s="1" t="s">
        <v>35</v>
      </c>
      <c r="N72" s="1">
        <v>10.7</v>
      </c>
      <c r="O72" s="1">
        <v>167.6</v>
      </c>
      <c r="P72" s="1">
        <v>2026</v>
      </c>
    </row>
    <row r="73" spans="1:16" ht="27.75" x14ac:dyDescent="0.2">
      <c r="A73" s="1" t="s">
        <v>117</v>
      </c>
      <c r="B73" s="1" t="s">
        <v>62</v>
      </c>
      <c r="C73" s="1" t="s">
        <v>41</v>
      </c>
      <c r="D73" s="1" t="s">
        <v>46</v>
      </c>
      <c r="E73" s="1" t="s">
        <v>34</v>
      </c>
      <c r="F73" s="1">
        <v>705487</v>
      </c>
      <c r="G73" s="1">
        <v>119</v>
      </c>
      <c r="H73" s="1">
        <v>252</v>
      </c>
      <c r="I73" s="1">
        <v>0.59</v>
      </c>
      <c r="J73" s="1">
        <v>191640</v>
      </c>
      <c r="K73" s="1">
        <v>57891</v>
      </c>
      <c r="L73" s="1">
        <v>16.7</v>
      </c>
      <c r="M73" s="1" t="s">
        <v>21</v>
      </c>
      <c r="N73" s="1">
        <v>10.5</v>
      </c>
      <c r="O73" s="1">
        <v>264.10000000000002</v>
      </c>
      <c r="P73" s="1">
        <v>2026</v>
      </c>
    </row>
    <row r="74" spans="1:16" ht="27.75" x14ac:dyDescent="0.2">
      <c r="A74" s="1" t="s">
        <v>118</v>
      </c>
      <c r="B74" s="1" t="s">
        <v>62</v>
      </c>
      <c r="C74" s="1" t="s">
        <v>41</v>
      </c>
      <c r="D74" s="1" t="s">
        <v>25</v>
      </c>
      <c r="E74" s="1" t="s">
        <v>26</v>
      </c>
      <c r="F74" s="1">
        <v>48320</v>
      </c>
      <c r="G74" s="1">
        <v>47</v>
      </c>
      <c r="H74" s="1">
        <v>539</v>
      </c>
      <c r="I74" s="1">
        <v>1.44</v>
      </c>
      <c r="J74" s="1">
        <v>134850</v>
      </c>
      <c r="K74" s="1">
        <v>75971</v>
      </c>
      <c r="L74" s="1">
        <v>16.899999999999999</v>
      </c>
      <c r="M74" s="1" t="s">
        <v>21</v>
      </c>
      <c r="N74" s="1">
        <v>64.8</v>
      </c>
      <c r="O74" s="1">
        <v>153</v>
      </c>
      <c r="P74" s="1">
        <v>2026</v>
      </c>
    </row>
    <row r="75" spans="1:16" x14ac:dyDescent="0.2">
      <c r="A75" s="1" t="s">
        <v>119</v>
      </c>
      <c r="B75" s="1" t="s">
        <v>67</v>
      </c>
      <c r="C75" s="1" t="s">
        <v>18</v>
      </c>
      <c r="D75" s="1" t="s">
        <v>44</v>
      </c>
      <c r="E75" s="1" t="s">
        <v>20</v>
      </c>
      <c r="F75" s="1">
        <v>671917</v>
      </c>
      <c r="G75" s="1">
        <v>114</v>
      </c>
      <c r="H75" s="1">
        <v>315</v>
      </c>
      <c r="I75" s="1">
        <v>0.64</v>
      </c>
      <c r="J75" s="1">
        <v>155236</v>
      </c>
      <c r="K75" s="1">
        <v>51824</v>
      </c>
      <c r="L75" s="1">
        <v>12.6</v>
      </c>
      <c r="M75" s="1" t="s">
        <v>35</v>
      </c>
      <c r="N75" s="1">
        <v>9.6</v>
      </c>
      <c r="O75" s="1">
        <v>12.2</v>
      </c>
      <c r="P75" s="1">
        <v>2026</v>
      </c>
    </row>
    <row r="76" spans="1:16" ht="27.75" x14ac:dyDescent="0.2">
      <c r="A76" s="1" t="s">
        <v>120</v>
      </c>
      <c r="B76" s="1" t="s">
        <v>23</v>
      </c>
      <c r="C76" s="1" t="s">
        <v>24</v>
      </c>
      <c r="D76" s="1" t="s">
        <v>32</v>
      </c>
      <c r="E76" s="1" t="s">
        <v>38</v>
      </c>
      <c r="F76" s="1">
        <v>242497</v>
      </c>
      <c r="G76" s="1">
        <v>90</v>
      </c>
      <c r="H76" s="1">
        <v>333</v>
      </c>
      <c r="I76" s="1">
        <v>0.51</v>
      </c>
      <c r="J76" s="1">
        <v>72041</v>
      </c>
      <c r="K76" s="1">
        <v>54172</v>
      </c>
      <c r="L76" s="1">
        <v>17.600000000000001</v>
      </c>
      <c r="M76" s="1" t="s">
        <v>21</v>
      </c>
      <c r="N76" s="1">
        <v>30.2</v>
      </c>
      <c r="O76" s="1">
        <v>172.8</v>
      </c>
      <c r="P76" s="1">
        <v>2026</v>
      </c>
    </row>
    <row r="77" spans="1:16" x14ac:dyDescent="0.2">
      <c r="A77" s="1" t="s">
        <v>121</v>
      </c>
      <c r="B77" s="1" t="s">
        <v>56</v>
      </c>
      <c r="C77" s="1" t="s">
        <v>41</v>
      </c>
      <c r="D77" s="1" t="s">
        <v>37</v>
      </c>
      <c r="E77" s="1" t="s">
        <v>34</v>
      </c>
      <c r="F77" s="1">
        <v>238012</v>
      </c>
      <c r="G77" s="1">
        <v>83</v>
      </c>
      <c r="H77" s="1">
        <v>428</v>
      </c>
      <c r="I77" s="1">
        <v>0.78</v>
      </c>
      <c r="J77" s="1">
        <v>65912</v>
      </c>
      <c r="K77" s="1">
        <v>50029</v>
      </c>
      <c r="L77" s="1">
        <v>14.2</v>
      </c>
      <c r="M77" s="1" t="s">
        <v>35</v>
      </c>
      <c r="N77" s="1">
        <v>7</v>
      </c>
      <c r="O77" s="1">
        <v>122.5</v>
      </c>
      <c r="P77" s="1">
        <v>2026</v>
      </c>
    </row>
    <row r="78" spans="1:16" ht="27.75" x14ac:dyDescent="0.2">
      <c r="A78" s="1" t="s">
        <v>122</v>
      </c>
      <c r="B78" s="1" t="s">
        <v>23</v>
      </c>
      <c r="C78" s="1" t="s">
        <v>24</v>
      </c>
      <c r="D78" s="1" t="s">
        <v>19</v>
      </c>
      <c r="E78" s="1" t="s">
        <v>38</v>
      </c>
      <c r="F78" s="1">
        <v>316268</v>
      </c>
      <c r="G78" s="1">
        <v>53</v>
      </c>
      <c r="H78" s="1">
        <v>330</v>
      </c>
      <c r="I78" s="1">
        <v>0.63</v>
      </c>
      <c r="J78" s="1">
        <v>189868</v>
      </c>
      <c r="K78" s="1">
        <v>34931</v>
      </c>
      <c r="L78" s="1">
        <v>22.3</v>
      </c>
      <c r="M78" s="1" t="s">
        <v>35</v>
      </c>
      <c r="N78" s="1">
        <v>9.1</v>
      </c>
      <c r="O78" s="1">
        <v>274.3</v>
      </c>
      <c r="P78" s="1">
        <v>2026</v>
      </c>
    </row>
    <row r="79" spans="1:16" ht="27.75" x14ac:dyDescent="0.2">
      <c r="A79" s="1" t="s">
        <v>123</v>
      </c>
      <c r="B79" s="1" t="s">
        <v>62</v>
      </c>
      <c r="C79" s="1" t="s">
        <v>41</v>
      </c>
      <c r="D79" s="1" t="s">
        <v>59</v>
      </c>
      <c r="E79" s="1" t="s">
        <v>34</v>
      </c>
      <c r="F79" s="1">
        <v>348600</v>
      </c>
      <c r="G79" s="1">
        <v>119</v>
      </c>
      <c r="H79" s="1">
        <v>335</v>
      </c>
      <c r="I79" s="1">
        <v>1.63</v>
      </c>
      <c r="J79" s="1">
        <v>47805</v>
      </c>
      <c r="K79" s="1">
        <v>70682</v>
      </c>
      <c r="L79" s="1">
        <v>16.600000000000001</v>
      </c>
      <c r="M79" s="1" t="s">
        <v>21</v>
      </c>
      <c r="N79" s="1">
        <v>22.8</v>
      </c>
      <c r="O79" s="1">
        <v>111.3</v>
      </c>
      <c r="P79" s="1">
        <v>2026</v>
      </c>
    </row>
    <row r="80" spans="1:16" x14ac:dyDescent="0.2">
      <c r="A80" s="1" t="s">
        <v>124</v>
      </c>
      <c r="B80" s="1" t="s">
        <v>17</v>
      </c>
      <c r="C80" s="1" t="s">
        <v>18</v>
      </c>
      <c r="D80" s="1" t="s">
        <v>19</v>
      </c>
      <c r="E80" s="1" t="s">
        <v>34</v>
      </c>
      <c r="F80" s="1">
        <v>11516</v>
      </c>
      <c r="G80" s="1">
        <v>75</v>
      </c>
      <c r="H80" s="1">
        <v>426</v>
      </c>
      <c r="I80" s="1">
        <v>1.62</v>
      </c>
      <c r="J80" s="1">
        <v>183917</v>
      </c>
      <c r="K80" s="1">
        <v>70647</v>
      </c>
      <c r="L80" s="1">
        <v>14.1</v>
      </c>
      <c r="M80" s="1" t="s">
        <v>21</v>
      </c>
      <c r="N80" s="1">
        <v>9.6999999999999993</v>
      </c>
      <c r="O80" s="1">
        <v>206.5</v>
      </c>
      <c r="P80" s="1">
        <v>2026</v>
      </c>
    </row>
    <row r="81" spans="1:16" ht="27.75" x14ac:dyDescent="0.2">
      <c r="A81" s="1" t="s">
        <v>125</v>
      </c>
      <c r="B81" s="1" t="s">
        <v>50</v>
      </c>
      <c r="C81" s="1" t="s">
        <v>24</v>
      </c>
      <c r="D81" s="1" t="s">
        <v>37</v>
      </c>
      <c r="E81" s="1" t="s">
        <v>20</v>
      </c>
      <c r="F81" s="1">
        <v>413287</v>
      </c>
      <c r="G81" s="1">
        <v>67</v>
      </c>
      <c r="H81" s="1">
        <v>281</v>
      </c>
      <c r="I81" s="1">
        <v>1.87</v>
      </c>
      <c r="J81" s="1">
        <v>13734</v>
      </c>
      <c r="K81" s="1">
        <v>83600</v>
      </c>
      <c r="L81" s="1">
        <v>15</v>
      </c>
      <c r="M81" s="1" t="s">
        <v>35</v>
      </c>
      <c r="N81" s="1">
        <v>26.5</v>
      </c>
      <c r="O81" s="1">
        <v>130.69999999999999</v>
      </c>
      <c r="P81" s="1">
        <v>2026</v>
      </c>
    </row>
    <row r="82" spans="1:16" x14ac:dyDescent="0.2">
      <c r="A82" s="1" t="s">
        <v>126</v>
      </c>
      <c r="B82" s="1" t="s">
        <v>28</v>
      </c>
      <c r="C82" s="1" t="s">
        <v>29</v>
      </c>
      <c r="D82" s="1" t="s">
        <v>48</v>
      </c>
      <c r="E82" s="1" t="s">
        <v>20</v>
      </c>
      <c r="F82" s="1">
        <v>694495</v>
      </c>
      <c r="G82" s="1">
        <v>72</v>
      </c>
      <c r="H82" s="1">
        <v>540</v>
      </c>
      <c r="I82" s="1">
        <v>1.29</v>
      </c>
      <c r="J82" s="1">
        <v>102813</v>
      </c>
      <c r="K82" s="1">
        <v>82054</v>
      </c>
      <c r="L82" s="1">
        <v>24</v>
      </c>
      <c r="M82" s="1" t="s">
        <v>21</v>
      </c>
      <c r="N82" s="1">
        <v>31.2</v>
      </c>
      <c r="O82" s="1">
        <v>21</v>
      </c>
      <c r="P82" s="1">
        <v>2026</v>
      </c>
    </row>
    <row r="83" spans="1:16" x14ac:dyDescent="0.2">
      <c r="A83" s="1" t="s">
        <v>127</v>
      </c>
      <c r="B83" s="1" t="s">
        <v>40</v>
      </c>
      <c r="C83" s="1" t="s">
        <v>41</v>
      </c>
      <c r="D83" s="1" t="s">
        <v>73</v>
      </c>
      <c r="E83" s="1" t="s">
        <v>26</v>
      </c>
      <c r="F83" s="1">
        <v>539089</v>
      </c>
      <c r="G83" s="1">
        <v>91</v>
      </c>
      <c r="H83" s="1">
        <v>617</v>
      </c>
      <c r="I83" s="1">
        <v>0.7</v>
      </c>
      <c r="J83" s="1">
        <v>127877</v>
      </c>
      <c r="K83" s="1">
        <v>27683</v>
      </c>
      <c r="L83" s="1">
        <v>19.5</v>
      </c>
      <c r="M83" s="1" t="s">
        <v>21</v>
      </c>
      <c r="N83" s="1">
        <v>36</v>
      </c>
      <c r="O83" s="1">
        <v>289.2</v>
      </c>
      <c r="P83" s="1">
        <v>2026</v>
      </c>
    </row>
    <row r="84" spans="1:16" x14ac:dyDescent="0.2">
      <c r="A84" s="1" t="s">
        <v>128</v>
      </c>
      <c r="B84" s="1" t="s">
        <v>43</v>
      </c>
      <c r="C84" s="1" t="s">
        <v>18</v>
      </c>
      <c r="D84" s="1" t="s">
        <v>32</v>
      </c>
      <c r="E84" s="1" t="s">
        <v>26</v>
      </c>
      <c r="F84" s="1">
        <v>897307</v>
      </c>
      <c r="G84" s="1">
        <v>96</v>
      </c>
      <c r="H84" s="1">
        <v>324</v>
      </c>
      <c r="I84" s="1">
        <v>2.87</v>
      </c>
      <c r="J84" s="1">
        <v>167107</v>
      </c>
      <c r="K84" s="1">
        <v>59551</v>
      </c>
      <c r="L84" s="1">
        <v>16.3</v>
      </c>
      <c r="M84" s="1" t="s">
        <v>21</v>
      </c>
      <c r="N84" s="1">
        <v>47.1</v>
      </c>
      <c r="O84" s="1">
        <v>73.900000000000006</v>
      </c>
      <c r="P84" s="1">
        <v>2026</v>
      </c>
    </row>
    <row r="85" spans="1:16" x14ac:dyDescent="0.2">
      <c r="A85" s="1" t="s">
        <v>129</v>
      </c>
      <c r="B85" s="1" t="s">
        <v>56</v>
      </c>
      <c r="C85" s="1" t="s">
        <v>41</v>
      </c>
      <c r="D85" s="1" t="s">
        <v>19</v>
      </c>
      <c r="E85" s="1" t="s">
        <v>20</v>
      </c>
      <c r="F85" s="1">
        <v>659226</v>
      </c>
      <c r="G85" s="1">
        <v>102</v>
      </c>
      <c r="H85" s="1">
        <v>491</v>
      </c>
      <c r="I85" s="1">
        <v>1.31</v>
      </c>
      <c r="J85" s="1">
        <v>111608</v>
      </c>
      <c r="K85" s="1">
        <v>43393</v>
      </c>
      <c r="L85" s="1">
        <v>23.4</v>
      </c>
      <c r="M85" s="1" t="s">
        <v>35</v>
      </c>
      <c r="N85" s="1">
        <v>60.4</v>
      </c>
      <c r="O85" s="1">
        <v>127.1</v>
      </c>
      <c r="P85" s="1">
        <v>2026</v>
      </c>
    </row>
    <row r="86" spans="1:16" x14ac:dyDescent="0.2">
      <c r="A86" s="1" t="s">
        <v>130</v>
      </c>
      <c r="B86" s="1" t="s">
        <v>17</v>
      </c>
      <c r="C86" s="1" t="s">
        <v>18</v>
      </c>
      <c r="D86" s="1" t="s">
        <v>59</v>
      </c>
      <c r="E86" s="1" t="s">
        <v>20</v>
      </c>
      <c r="F86" s="1">
        <v>724850</v>
      </c>
      <c r="G86" s="1">
        <v>94</v>
      </c>
      <c r="H86" s="1">
        <v>250</v>
      </c>
      <c r="I86" s="1">
        <v>0.68</v>
      </c>
      <c r="J86" s="1">
        <v>59127</v>
      </c>
      <c r="K86" s="1">
        <v>27460</v>
      </c>
      <c r="L86" s="1">
        <v>17.2</v>
      </c>
      <c r="M86" s="1" t="s">
        <v>35</v>
      </c>
      <c r="N86" s="1">
        <v>58.8</v>
      </c>
      <c r="O86" s="1">
        <v>121.4</v>
      </c>
      <c r="P86" s="1">
        <v>2026</v>
      </c>
    </row>
    <row r="87" spans="1:16" ht="27.75" x14ac:dyDescent="0.2">
      <c r="A87" s="1" t="s">
        <v>131</v>
      </c>
      <c r="B87" s="1" t="s">
        <v>23</v>
      </c>
      <c r="C87" s="1" t="s">
        <v>24</v>
      </c>
      <c r="D87" s="1" t="s">
        <v>46</v>
      </c>
      <c r="E87" s="1" t="s">
        <v>26</v>
      </c>
      <c r="F87" s="1">
        <v>846096</v>
      </c>
      <c r="G87" s="1">
        <v>99</v>
      </c>
      <c r="H87" s="1">
        <v>516</v>
      </c>
      <c r="I87" s="1">
        <v>2.86</v>
      </c>
      <c r="J87" s="1">
        <v>160653</v>
      </c>
      <c r="K87" s="1">
        <v>81194</v>
      </c>
      <c r="L87" s="1">
        <v>15.5</v>
      </c>
      <c r="M87" s="1" t="s">
        <v>35</v>
      </c>
      <c r="N87" s="1">
        <v>55.5</v>
      </c>
      <c r="O87" s="1">
        <v>193.6</v>
      </c>
      <c r="P87" s="1">
        <v>2026</v>
      </c>
    </row>
    <row r="88" spans="1:16" x14ac:dyDescent="0.2">
      <c r="A88" s="1" t="s">
        <v>132</v>
      </c>
      <c r="B88" s="1" t="s">
        <v>40</v>
      </c>
      <c r="C88" s="1" t="s">
        <v>41</v>
      </c>
      <c r="D88" s="1" t="s">
        <v>30</v>
      </c>
      <c r="E88" s="1" t="s">
        <v>38</v>
      </c>
      <c r="F88" s="1">
        <v>616892</v>
      </c>
      <c r="G88" s="1">
        <v>45</v>
      </c>
      <c r="H88" s="1">
        <v>558</v>
      </c>
      <c r="I88" s="1">
        <v>2.56</v>
      </c>
      <c r="J88" s="1">
        <v>127534</v>
      </c>
      <c r="K88" s="1">
        <v>60457</v>
      </c>
      <c r="L88" s="1">
        <v>22.9</v>
      </c>
      <c r="M88" s="1" t="s">
        <v>21</v>
      </c>
      <c r="N88" s="1">
        <v>58</v>
      </c>
      <c r="O88" s="1">
        <v>67.3</v>
      </c>
      <c r="P88" s="1">
        <v>2026</v>
      </c>
    </row>
    <row r="89" spans="1:16" x14ac:dyDescent="0.2">
      <c r="A89" s="1" t="s">
        <v>133</v>
      </c>
      <c r="B89" s="1" t="s">
        <v>56</v>
      </c>
      <c r="C89" s="1" t="s">
        <v>41</v>
      </c>
      <c r="D89" s="1" t="s">
        <v>44</v>
      </c>
      <c r="E89" s="1" t="s">
        <v>38</v>
      </c>
      <c r="F89" s="1">
        <v>376073</v>
      </c>
      <c r="G89" s="1">
        <v>71</v>
      </c>
      <c r="H89" s="1">
        <v>451</v>
      </c>
      <c r="I89" s="1">
        <v>2.4500000000000002</v>
      </c>
      <c r="J89" s="1">
        <v>28712</v>
      </c>
      <c r="K89" s="1">
        <v>52791</v>
      </c>
      <c r="L89" s="1">
        <v>19.399999999999999</v>
      </c>
      <c r="M89" s="1" t="s">
        <v>21</v>
      </c>
      <c r="N89" s="1">
        <v>43.7</v>
      </c>
      <c r="O89" s="1">
        <v>132.6</v>
      </c>
      <c r="P89" s="1">
        <v>2026</v>
      </c>
    </row>
    <row r="90" spans="1:16" x14ac:dyDescent="0.2">
      <c r="A90" s="1" t="s">
        <v>134</v>
      </c>
      <c r="B90" s="1" t="s">
        <v>56</v>
      </c>
      <c r="C90" s="1" t="s">
        <v>41</v>
      </c>
      <c r="D90" s="1" t="s">
        <v>30</v>
      </c>
      <c r="E90" s="1" t="s">
        <v>26</v>
      </c>
      <c r="F90" s="1">
        <v>426740</v>
      </c>
      <c r="G90" s="1">
        <v>119</v>
      </c>
      <c r="H90" s="1">
        <v>376</v>
      </c>
      <c r="I90" s="1">
        <v>2.85</v>
      </c>
      <c r="J90" s="1">
        <v>52060</v>
      </c>
      <c r="K90" s="1">
        <v>79046</v>
      </c>
      <c r="L90" s="1">
        <v>19.399999999999999</v>
      </c>
      <c r="M90" s="1" t="s">
        <v>35</v>
      </c>
      <c r="N90" s="1">
        <v>49.9</v>
      </c>
      <c r="O90" s="1">
        <v>224.3</v>
      </c>
      <c r="P90" s="1">
        <v>2026</v>
      </c>
    </row>
    <row r="91" spans="1:16" x14ac:dyDescent="0.2">
      <c r="A91" s="1" t="s">
        <v>135</v>
      </c>
      <c r="B91" s="1" t="s">
        <v>28</v>
      </c>
      <c r="C91" s="1" t="s">
        <v>29</v>
      </c>
      <c r="D91" s="1" t="s">
        <v>19</v>
      </c>
      <c r="E91" s="1" t="s">
        <v>26</v>
      </c>
      <c r="F91" s="1">
        <v>363723</v>
      </c>
      <c r="G91" s="1">
        <v>119</v>
      </c>
      <c r="H91" s="1">
        <v>266</v>
      </c>
      <c r="I91" s="1">
        <v>2.9</v>
      </c>
      <c r="J91" s="1">
        <v>38718</v>
      </c>
      <c r="K91" s="1">
        <v>71024</v>
      </c>
      <c r="L91" s="1">
        <v>15</v>
      </c>
      <c r="M91" s="1" t="s">
        <v>21</v>
      </c>
      <c r="N91" s="1">
        <v>32.6</v>
      </c>
      <c r="O91" s="1">
        <v>223.4</v>
      </c>
      <c r="P91" s="1">
        <v>2026</v>
      </c>
    </row>
    <row r="92" spans="1:16" x14ac:dyDescent="0.2">
      <c r="A92" s="1" t="s">
        <v>136</v>
      </c>
      <c r="B92" s="1" t="s">
        <v>56</v>
      </c>
      <c r="C92" s="1" t="s">
        <v>41</v>
      </c>
      <c r="D92" s="1" t="s">
        <v>25</v>
      </c>
      <c r="E92" s="1" t="s">
        <v>26</v>
      </c>
      <c r="F92" s="1">
        <v>756717</v>
      </c>
      <c r="G92" s="1">
        <v>107</v>
      </c>
      <c r="H92" s="1">
        <v>522</v>
      </c>
      <c r="I92" s="1">
        <v>1.99</v>
      </c>
      <c r="J92" s="1">
        <v>195095</v>
      </c>
      <c r="K92" s="1">
        <v>49681</v>
      </c>
      <c r="L92" s="1">
        <v>20.6</v>
      </c>
      <c r="M92" s="1" t="s">
        <v>35</v>
      </c>
      <c r="N92" s="1">
        <v>43.5</v>
      </c>
      <c r="O92" s="1">
        <v>110.3</v>
      </c>
      <c r="P92" s="1">
        <v>2026</v>
      </c>
    </row>
    <row r="93" spans="1:16" x14ac:dyDescent="0.2">
      <c r="A93" s="1" t="s">
        <v>137</v>
      </c>
      <c r="B93" s="1" t="s">
        <v>17</v>
      </c>
      <c r="C93" s="1" t="s">
        <v>18</v>
      </c>
      <c r="D93" s="1" t="s">
        <v>25</v>
      </c>
      <c r="E93" s="1" t="s">
        <v>26</v>
      </c>
      <c r="F93" s="1">
        <v>712533</v>
      </c>
      <c r="G93" s="1">
        <v>89</v>
      </c>
      <c r="H93" s="1">
        <v>648</v>
      </c>
      <c r="I93" s="1">
        <v>2.76</v>
      </c>
      <c r="J93" s="1">
        <v>118045</v>
      </c>
      <c r="K93" s="1">
        <v>39509</v>
      </c>
      <c r="L93" s="1">
        <v>16.5</v>
      </c>
      <c r="M93" s="1" t="s">
        <v>21</v>
      </c>
      <c r="N93" s="1">
        <v>15.5</v>
      </c>
      <c r="O93" s="1">
        <v>267.2</v>
      </c>
      <c r="P93" s="1">
        <v>2026</v>
      </c>
    </row>
    <row r="94" spans="1:16" x14ac:dyDescent="0.2">
      <c r="A94" s="1" t="s">
        <v>138</v>
      </c>
      <c r="B94" s="1" t="s">
        <v>43</v>
      </c>
      <c r="C94" s="1" t="s">
        <v>18</v>
      </c>
      <c r="D94" s="1" t="s">
        <v>19</v>
      </c>
      <c r="E94" s="1" t="s">
        <v>20</v>
      </c>
      <c r="F94" s="1">
        <v>783973</v>
      </c>
      <c r="G94" s="1">
        <v>100</v>
      </c>
      <c r="H94" s="1">
        <v>582</v>
      </c>
      <c r="I94" s="1">
        <v>2.41</v>
      </c>
      <c r="J94" s="1">
        <v>24150</v>
      </c>
      <c r="K94" s="1">
        <v>54574</v>
      </c>
      <c r="L94" s="1">
        <v>16.399999999999999</v>
      </c>
      <c r="M94" s="1" t="s">
        <v>21</v>
      </c>
      <c r="N94" s="1">
        <v>37.700000000000003</v>
      </c>
      <c r="O94" s="1">
        <v>208.6</v>
      </c>
      <c r="P94" s="1">
        <v>2026</v>
      </c>
    </row>
    <row r="95" spans="1:16" x14ac:dyDescent="0.2">
      <c r="A95" s="1" t="s">
        <v>139</v>
      </c>
      <c r="B95" s="1" t="s">
        <v>17</v>
      </c>
      <c r="C95" s="1" t="s">
        <v>18</v>
      </c>
      <c r="D95" s="1" t="s">
        <v>44</v>
      </c>
      <c r="E95" s="1" t="s">
        <v>34</v>
      </c>
      <c r="F95" s="1">
        <v>111841</v>
      </c>
      <c r="G95" s="1">
        <v>89</v>
      </c>
      <c r="H95" s="1">
        <v>505</v>
      </c>
      <c r="I95" s="1">
        <v>1.28</v>
      </c>
      <c r="J95" s="1">
        <v>131858</v>
      </c>
      <c r="K95" s="1">
        <v>71293</v>
      </c>
      <c r="L95" s="1">
        <v>17.100000000000001</v>
      </c>
      <c r="M95" s="1" t="s">
        <v>21</v>
      </c>
      <c r="N95" s="1">
        <v>58.6</v>
      </c>
      <c r="O95" s="1">
        <v>142.9</v>
      </c>
      <c r="P95" s="1">
        <v>2026</v>
      </c>
    </row>
    <row r="96" spans="1:16" x14ac:dyDescent="0.2">
      <c r="A96" s="1" t="s">
        <v>140</v>
      </c>
      <c r="B96" s="1" t="s">
        <v>67</v>
      </c>
      <c r="C96" s="1" t="s">
        <v>18</v>
      </c>
      <c r="D96" s="1" t="s">
        <v>46</v>
      </c>
      <c r="E96" s="1" t="s">
        <v>34</v>
      </c>
      <c r="F96" s="1">
        <v>863543</v>
      </c>
      <c r="G96" s="1">
        <v>76</v>
      </c>
      <c r="H96" s="1">
        <v>486</v>
      </c>
      <c r="I96" s="1">
        <v>1.82</v>
      </c>
      <c r="J96" s="1">
        <v>112887</v>
      </c>
      <c r="K96" s="1">
        <v>39399</v>
      </c>
      <c r="L96" s="1">
        <v>24.6</v>
      </c>
      <c r="M96" s="1" t="s">
        <v>21</v>
      </c>
      <c r="N96" s="1">
        <v>5.4</v>
      </c>
      <c r="O96" s="1">
        <v>57.9</v>
      </c>
      <c r="P96" s="1">
        <v>2026</v>
      </c>
    </row>
    <row r="97" spans="1:16" x14ac:dyDescent="0.2">
      <c r="A97" s="1" t="s">
        <v>141</v>
      </c>
      <c r="B97" s="1" t="s">
        <v>17</v>
      </c>
      <c r="C97" s="1" t="s">
        <v>18</v>
      </c>
      <c r="D97" s="1" t="s">
        <v>19</v>
      </c>
      <c r="E97" s="1" t="s">
        <v>34</v>
      </c>
      <c r="F97" s="1">
        <v>276317</v>
      </c>
      <c r="G97" s="1">
        <v>111</v>
      </c>
      <c r="H97" s="1">
        <v>315</v>
      </c>
      <c r="I97" s="1">
        <v>1.58</v>
      </c>
      <c r="J97" s="1">
        <v>58968</v>
      </c>
      <c r="K97" s="1">
        <v>43797</v>
      </c>
      <c r="L97" s="1">
        <v>23.4</v>
      </c>
      <c r="M97" s="1" t="s">
        <v>35</v>
      </c>
      <c r="N97" s="1">
        <v>5.5</v>
      </c>
      <c r="O97" s="1">
        <v>220.4</v>
      </c>
      <c r="P97" s="1">
        <v>2026</v>
      </c>
    </row>
    <row r="98" spans="1:16" ht="27.75" x14ac:dyDescent="0.2">
      <c r="A98" s="1" t="s">
        <v>142</v>
      </c>
      <c r="B98" s="1" t="s">
        <v>50</v>
      </c>
      <c r="C98" s="1" t="s">
        <v>24</v>
      </c>
      <c r="D98" s="1" t="s">
        <v>30</v>
      </c>
      <c r="E98" s="1" t="s">
        <v>20</v>
      </c>
      <c r="F98" s="1">
        <v>516848</v>
      </c>
      <c r="G98" s="1">
        <v>64</v>
      </c>
      <c r="H98" s="1">
        <v>300</v>
      </c>
      <c r="I98" s="1">
        <v>1.97</v>
      </c>
      <c r="J98" s="1">
        <v>79074</v>
      </c>
      <c r="K98" s="1">
        <v>74830</v>
      </c>
      <c r="L98" s="1">
        <v>22.9</v>
      </c>
      <c r="M98" s="1" t="s">
        <v>21</v>
      </c>
      <c r="N98" s="1">
        <v>41.1</v>
      </c>
      <c r="O98" s="1">
        <v>169.1</v>
      </c>
      <c r="P98" s="1">
        <v>2026</v>
      </c>
    </row>
    <row r="99" spans="1:16" x14ac:dyDescent="0.2">
      <c r="A99" s="1" t="s">
        <v>143</v>
      </c>
      <c r="B99" s="1" t="s">
        <v>40</v>
      </c>
      <c r="C99" s="1" t="s">
        <v>41</v>
      </c>
      <c r="D99" s="1" t="s">
        <v>46</v>
      </c>
      <c r="E99" s="1" t="s">
        <v>26</v>
      </c>
      <c r="F99" s="1">
        <v>74503</v>
      </c>
      <c r="G99" s="1">
        <v>45</v>
      </c>
      <c r="H99" s="1">
        <v>564</v>
      </c>
      <c r="I99" s="1">
        <v>0.97</v>
      </c>
      <c r="J99" s="1">
        <v>149308</v>
      </c>
      <c r="K99" s="1">
        <v>51062</v>
      </c>
      <c r="L99" s="1">
        <v>12.1</v>
      </c>
      <c r="M99" s="1" t="s">
        <v>21</v>
      </c>
      <c r="N99" s="1">
        <v>48.5</v>
      </c>
      <c r="O99" s="1">
        <v>242.7</v>
      </c>
      <c r="P99" s="1">
        <v>2026</v>
      </c>
    </row>
    <row r="100" spans="1:16" x14ac:dyDescent="0.2">
      <c r="A100" s="1" t="s">
        <v>144</v>
      </c>
      <c r="B100" s="1" t="s">
        <v>56</v>
      </c>
      <c r="C100" s="1" t="s">
        <v>41</v>
      </c>
      <c r="D100" s="1" t="s">
        <v>48</v>
      </c>
      <c r="E100" s="1" t="s">
        <v>26</v>
      </c>
      <c r="F100" s="1">
        <v>62809</v>
      </c>
      <c r="G100" s="1">
        <v>45</v>
      </c>
      <c r="H100" s="1">
        <v>263</v>
      </c>
      <c r="I100" s="1">
        <v>1.18</v>
      </c>
      <c r="J100" s="1">
        <v>54019</v>
      </c>
      <c r="K100" s="1">
        <v>53013</v>
      </c>
      <c r="L100" s="1">
        <v>20.399999999999999</v>
      </c>
      <c r="M100" s="1" t="s">
        <v>35</v>
      </c>
      <c r="N100" s="1">
        <v>52.8</v>
      </c>
      <c r="O100" s="1">
        <v>172.4</v>
      </c>
      <c r="P100" s="1">
        <v>2026</v>
      </c>
    </row>
    <row r="101" spans="1:16" ht="27.75" x14ac:dyDescent="0.2">
      <c r="A101" s="1" t="s">
        <v>145</v>
      </c>
      <c r="B101" s="1" t="s">
        <v>62</v>
      </c>
      <c r="C101" s="1" t="s">
        <v>41</v>
      </c>
      <c r="D101" s="1" t="s">
        <v>73</v>
      </c>
      <c r="E101" s="1" t="s">
        <v>20</v>
      </c>
      <c r="F101" s="1">
        <v>161463</v>
      </c>
      <c r="G101" s="1">
        <v>51</v>
      </c>
      <c r="H101" s="1">
        <v>526</v>
      </c>
      <c r="I101" s="1">
        <v>2.78</v>
      </c>
      <c r="J101" s="1">
        <v>106237</v>
      </c>
      <c r="K101" s="1">
        <v>48751</v>
      </c>
      <c r="L101" s="1">
        <v>12.7</v>
      </c>
      <c r="M101" s="1" t="s">
        <v>35</v>
      </c>
      <c r="N101" s="1">
        <v>49.7</v>
      </c>
      <c r="O101" s="1">
        <v>232.5</v>
      </c>
      <c r="P101" s="1">
        <v>2026</v>
      </c>
    </row>
    <row r="102" spans="1:16" ht="27.75" x14ac:dyDescent="0.2">
      <c r="A102" s="1" t="s">
        <v>146</v>
      </c>
      <c r="B102" s="1" t="s">
        <v>23</v>
      </c>
      <c r="C102" s="1" t="s">
        <v>24</v>
      </c>
      <c r="D102" s="1" t="s">
        <v>59</v>
      </c>
      <c r="E102" s="1" t="s">
        <v>38</v>
      </c>
      <c r="F102" s="1">
        <v>653403</v>
      </c>
      <c r="G102" s="1">
        <v>86</v>
      </c>
      <c r="H102" s="1">
        <v>488</v>
      </c>
      <c r="I102" s="1">
        <v>1.05</v>
      </c>
      <c r="J102" s="1">
        <v>64141</v>
      </c>
      <c r="K102" s="1">
        <v>64169</v>
      </c>
      <c r="L102" s="1">
        <v>24.5</v>
      </c>
      <c r="M102" s="1" t="s">
        <v>35</v>
      </c>
      <c r="N102" s="1">
        <v>43.3</v>
      </c>
      <c r="O102" s="1">
        <v>116.5</v>
      </c>
      <c r="P102" s="1">
        <v>2026</v>
      </c>
    </row>
    <row r="103" spans="1:16" x14ac:dyDescent="0.2">
      <c r="A103" s="1" t="s">
        <v>147</v>
      </c>
      <c r="B103" s="1" t="s">
        <v>40</v>
      </c>
      <c r="C103" s="1" t="s">
        <v>41</v>
      </c>
      <c r="D103" s="1" t="s">
        <v>30</v>
      </c>
      <c r="E103" s="1" t="s">
        <v>26</v>
      </c>
      <c r="F103" s="1">
        <v>353335</v>
      </c>
      <c r="G103" s="1">
        <v>54</v>
      </c>
      <c r="H103" s="1">
        <v>393</v>
      </c>
      <c r="I103" s="1">
        <v>0.87</v>
      </c>
      <c r="J103" s="1">
        <v>69981</v>
      </c>
      <c r="K103" s="1">
        <v>43351</v>
      </c>
      <c r="L103" s="1">
        <v>20.6</v>
      </c>
      <c r="M103" s="1" t="s">
        <v>21</v>
      </c>
      <c r="N103" s="1">
        <v>59.6</v>
      </c>
      <c r="O103" s="1">
        <v>64.599999999999994</v>
      </c>
      <c r="P103" s="1">
        <v>2026</v>
      </c>
    </row>
    <row r="104" spans="1:16" x14ac:dyDescent="0.2">
      <c r="A104" s="1" t="s">
        <v>148</v>
      </c>
      <c r="B104" s="1" t="s">
        <v>56</v>
      </c>
      <c r="C104" s="1" t="s">
        <v>41</v>
      </c>
      <c r="D104" s="1" t="s">
        <v>59</v>
      </c>
      <c r="E104" s="1" t="s">
        <v>26</v>
      </c>
      <c r="F104" s="1">
        <v>766043</v>
      </c>
      <c r="G104" s="1">
        <v>105</v>
      </c>
      <c r="H104" s="1">
        <v>544</v>
      </c>
      <c r="I104" s="1">
        <v>0.56999999999999995</v>
      </c>
      <c r="J104" s="1">
        <v>37460</v>
      </c>
      <c r="K104" s="1">
        <v>32200</v>
      </c>
      <c r="L104" s="1">
        <v>21.5</v>
      </c>
      <c r="M104" s="1" t="s">
        <v>21</v>
      </c>
      <c r="N104" s="1">
        <v>64</v>
      </c>
      <c r="O104" s="1">
        <v>164.4</v>
      </c>
      <c r="P104" s="1">
        <v>2026</v>
      </c>
    </row>
    <row r="105" spans="1:16" x14ac:dyDescent="0.2">
      <c r="A105" s="1" t="s">
        <v>149</v>
      </c>
      <c r="B105" s="1" t="s">
        <v>28</v>
      </c>
      <c r="C105" s="1" t="s">
        <v>29</v>
      </c>
      <c r="D105" s="1" t="s">
        <v>30</v>
      </c>
      <c r="E105" s="1" t="s">
        <v>34</v>
      </c>
      <c r="F105" s="1">
        <v>83963</v>
      </c>
      <c r="G105" s="1">
        <v>76</v>
      </c>
      <c r="H105" s="1">
        <v>596</v>
      </c>
      <c r="I105" s="1">
        <v>2.31</v>
      </c>
      <c r="J105" s="1">
        <v>137769</v>
      </c>
      <c r="K105" s="1">
        <v>28217</v>
      </c>
      <c r="L105" s="1">
        <v>13.7</v>
      </c>
      <c r="M105" s="1" t="s">
        <v>35</v>
      </c>
      <c r="N105" s="1">
        <v>51.1</v>
      </c>
      <c r="O105" s="1">
        <v>169.8</v>
      </c>
      <c r="P105" s="1">
        <v>2026</v>
      </c>
    </row>
    <row r="106" spans="1:16" x14ac:dyDescent="0.2">
      <c r="A106" s="1" t="s">
        <v>150</v>
      </c>
      <c r="B106" s="1" t="s">
        <v>28</v>
      </c>
      <c r="C106" s="1" t="s">
        <v>29</v>
      </c>
      <c r="D106" s="1" t="s">
        <v>59</v>
      </c>
      <c r="E106" s="1" t="s">
        <v>38</v>
      </c>
      <c r="F106" s="1">
        <v>807105</v>
      </c>
      <c r="G106" s="1">
        <v>118</v>
      </c>
      <c r="H106" s="1">
        <v>371</v>
      </c>
      <c r="I106" s="1">
        <v>1.6</v>
      </c>
      <c r="J106" s="1">
        <v>169082</v>
      </c>
      <c r="K106" s="1">
        <v>63758</v>
      </c>
      <c r="L106" s="1">
        <v>21.5</v>
      </c>
      <c r="M106" s="1" t="s">
        <v>35</v>
      </c>
      <c r="N106" s="1">
        <v>54.6</v>
      </c>
      <c r="O106" s="1">
        <v>182.3</v>
      </c>
      <c r="P106" s="1">
        <v>2026</v>
      </c>
    </row>
    <row r="107" spans="1:16" x14ac:dyDescent="0.2">
      <c r="A107" s="1" t="s">
        <v>151</v>
      </c>
      <c r="B107" s="1" t="s">
        <v>53</v>
      </c>
      <c r="C107" s="1" t="s">
        <v>41</v>
      </c>
      <c r="D107" s="1" t="s">
        <v>44</v>
      </c>
      <c r="E107" s="1" t="s">
        <v>26</v>
      </c>
      <c r="F107" s="1">
        <v>376663</v>
      </c>
      <c r="G107" s="1">
        <v>40</v>
      </c>
      <c r="H107" s="1">
        <v>359</v>
      </c>
      <c r="I107" s="1">
        <v>1.69</v>
      </c>
      <c r="J107" s="1">
        <v>182467</v>
      </c>
      <c r="K107" s="1">
        <v>39249</v>
      </c>
      <c r="L107" s="1">
        <v>18.600000000000001</v>
      </c>
      <c r="M107" s="1" t="s">
        <v>21</v>
      </c>
      <c r="N107" s="1">
        <v>13</v>
      </c>
      <c r="O107" s="1">
        <v>100.7</v>
      </c>
      <c r="P107" s="1">
        <v>2026</v>
      </c>
    </row>
    <row r="108" spans="1:16" ht="27.75" x14ac:dyDescent="0.2">
      <c r="A108" s="1" t="s">
        <v>152</v>
      </c>
      <c r="B108" s="1" t="s">
        <v>23</v>
      </c>
      <c r="C108" s="1" t="s">
        <v>24</v>
      </c>
      <c r="D108" s="1" t="s">
        <v>19</v>
      </c>
      <c r="E108" s="1" t="s">
        <v>34</v>
      </c>
      <c r="F108" s="1">
        <v>205405</v>
      </c>
      <c r="G108" s="1">
        <v>89</v>
      </c>
      <c r="H108" s="1">
        <v>317</v>
      </c>
      <c r="I108" s="1">
        <v>1.1399999999999999</v>
      </c>
      <c r="J108" s="1">
        <v>123479</v>
      </c>
      <c r="K108" s="1">
        <v>71096</v>
      </c>
      <c r="L108" s="1">
        <v>18.5</v>
      </c>
      <c r="M108" s="1" t="s">
        <v>21</v>
      </c>
      <c r="N108" s="1">
        <v>6.4</v>
      </c>
      <c r="O108" s="1">
        <v>182.7</v>
      </c>
      <c r="P108" s="1">
        <v>2026</v>
      </c>
    </row>
    <row r="109" spans="1:16" ht="27.75" x14ac:dyDescent="0.2">
      <c r="A109" s="1" t="s">
        <v>153</v>
      </c>
      <c r="B109" s="1" t="s">
        <v>23</v>
      </c>
      <c r="C109" s="1" t="s">
        <v>24</v>
      </c>
      <c r="D109" s="1" t="s">
        <v>44</v>
      </c>
      <c r="E109" s="1" t="s">
        <v>38</v>
      </c>
      <c r="F109" s="1">
        <v>370327</v>
      </c>
      <c r="G109" s="1">
        <v>65</v>
      </c>
      <c r="H109" s="1">
        <v>281</v>
      </c>
      <c r="I109" s="1">
        <v>0.97</v>
      </c>
      <c r="J109" s="1">
        <v>165735</v>
      </c>
      <c r="K109" s="1">
        <v>41000</v>
      </c>
      <c r="L109" s="1">
        <v>16.8</v>
      </c>
      <c r="M109" s="1" t="s">
        <v>21</v>
      </c>
      <c r="N109" s="1">
        <v>57.7</v>
      </c>
      <c r="O109" s="1">
        <v>285.5</v>
      </c>
      <c r="P109" s="1">
        <v>2026</v>
      </c>
    </row>
    <row r="110" spans="1:16" x14ac:dyDescent="0.2">
      <c r="A110" s="1" t="s">
        <v>154</v>
      </c>
      <c r="B110" s="1" t="s">
        <v>67</v>
      </c>
      <c r="C110" s="1" t="s">
        <v>18</v>
      </c>
      <c r="D110" s="1" t="s">
        <v>44</v>
      </c>
      <c r="E110" s="1" t="s">
        <v>38</v>
      </c>
      <c r="F110" s="1">
        <v>210755</v>
      </c>
      <c r="G110" s="1">
        <v>62</v>
      </c>
      <c r="H110" s="1">
        <v>499</v>
      </c>
      <c r="I110" s="1">
        <v>1.98</v>
      </c>
      <c r="J110" s="1">
        <v>132590</v>
      </c>
      <c r="K110" s="1">
        <v>57743</v>
      </c>
      <c r="L110" s="1">
        <v>14.6</v>
      </c>
      <c r="M110" s="1" t="s">
        <v>35</v>
      </c>
      <c r="N110" s="1">
        <v>41.9</v>
      </c>
      <c r="O110" s="1">
        <v>69.599999999999994</v>
      </c>
      <c r="P110" s="1">
        <v>2026</v>
      </c>
    </row>
    <row r="111" spans="1:16" x14ac:dyDescent="0.2">
      <c r="A111" s="1" t="s">
        <v>155</v>
      </c>
      <c r="B111" s="1" t="s">
        <v>67</v>
      </c>
      <c r="C111" s="1" t="s">
        <v>18</v>
      </c>
      <c r="D111" s="1" t="s">
        <v>48</v>
      </c>
      <c r="E111" s="1" t="s">
        <v>34</v>
      </c>
      <c r="F111" s="1">
        <v>845757</v>
      </c>
      <c r="G111" s="1">
        <v>40</v>
      </c>
      <c r="H111" s="1">
        <v>401</v>
      </c>
      <c r="I111" s="1">
        <v>2.52</v>
      </c>
      <c r="J111" s="1">
        <v>89396</v>
      </c>
      <c r="K111" s="1">
        <v>58623</v>
      </c>
      <c r="L111" s="1">
        <v>18</v>
      </c>
      <c r="M111" s="1" t="s">
        <v>35</v>
      </c>
      <c r="N111" s="1">
        <v>37.6</v>
      </c>
      <c r="O111" s="1">
        <v>185</v>
      </c>
      <c r="P111" s="1">
        <v>2026</v>
      </c>
    </row>
    <row r="112" spans="1:16" x14ac:dyDescent="0.2">
      <c r="A112" s="1" t="s">
        <v>156</v>
      </c>
      <c r="B112" s="1" t="s">
        <v>43</v>
      </c>
      <c r="C112" s="1" t="s">
        <v>18</v>
      </c>
      <c r="D112" s="1" t="s">
        <v>46</v>
      </c>
      <c r="E112" s="1" t="s">
        <v>34</v>
      </c>
      <c r="F112" s="1">
        <v>341337</v>
      </c>
      <c r="G112" s="1">
        <v>94</v>
      </c>
      <c r="H112" s="1">
        <v>375</v>
      </c>
      <c r="I112" s="1">
        <v>1.86</v>
      </c>
      <c r="J112" s="1">
        <v>113981</v>
      </c>
      <c r="K112" s="1">
        <v>67960</v>
      </c>
      <c r="L112" s="1">
        <v>24.2</v>
      </c>
      <c r="M112" s="1" t="s">
        <v>21</v>
      </c>
      <c r="N112" s="1">
        <v>22.2</v>
      </c>
      <c r="O112" s="1">
        <v>89.3</v>
      </c>
      <c r="P112" s="1">
        <v>2026</v>
      </c>
    </row>
    <row r="113" spans="1:16" ht="27.75" x14ac:dyDescent="0.2">
      <c r="A113" s="1" t="s">
        <v>157</v>
      </c>
      <c r="B113" s="1" t="s">
        <v>62</v>
      </c>
      <c r="C113" s="1" t="s">
        <v>41</v>
      </c>
      <c r="D113" s="1" t="s">
        <v>44</v>
      </c>
      <c r="E113" s="1" t="s">
        <v>38</v>
      </c>
      <c r="F113" s="1">
        <v>590140</v>
      </c>
      <c r="G113" s="1">
        <v>96</v>
      </c>
      <c r="H113" s="1">
        <v>599</v>
      </c>
      <c r="I113" s="1">
        <v>2.15</v>
      </c>
      <c r="J113" s="1">
        <v>56484</v>
      </c>
      <c r="K113" s="1">
        <v>83187</v>
      </c>
      <c r="L113" s="1">
        <v>13.1</v>
      </c>
      <c r="M113" s="1" t="s">
        <v>35</v>
      </c>
      <c r="N113" s="1">
        <v>33.6</v>
      </c>
      <c r="O113" s="1">
        <v>84.6</v>
      </c>
      <c r="P113" s="1">
        <v>2026</v>
      </c>
    </row>
    <row r="114" spans="1:16" ht="27.75" x14ac:dyDescent="0.2">
      <c r="A114" s="1" t="s">
        <v>158</v>
      </c>
      <c r="B114" s="1" t="s">
        <v>50</v>
      </c>
      <c r="C114" s="1" t="s">
        <v>24</v>
      </c>
      <c r="D114" s="1" t="s">
        <v>37</v>
      </c>
      <c r="E114" s="1" t="s">
        <v>38</v>
      </c>
      <c r="F114" s="1">
        <v>839485</v>
      </c>
      <c r="G114" s="1">
        <v>77</v>
      </c>
      <c r="H114" s="1">
        <v>342</v>
      </c>
      <c r="I114" s="1">
        <v>2.79</v>
      </c>
      <c r="J114" s="1">
        <v>121506</v>
      </c>
      <c r="K114" s="1">
        <v>51234</v>
      </c>
      <c r="L114" s="1">
        <v>14.4</v>
      </c>
      <c r="M114" s="1" t="s">
        <v>21</v>
      </c>
      <c r="N114" s="1">
        <v>12.6</v>
      </c>
      <c r="O114" s="1">
        <v>117.9</v>
      </c>
      <c r="P114" s="1">
        <v>2026</v>
      </c>
    </row>
    <row r="115" spans="1:16" ht="27.75" x14ac:dyDescent="0.2">
      <c r="A115" s="1" t="s">
        <v>159</v>
      </c>
      <c r="B115" s="1" t="s">
        <v>62</v>
      </c>
      <c r="C115" s="1" t="s">
        <v>41</v>
      </c>
      <c r="D115" s="1" t="s">
        <v>30</v>
      </c>
      <c r="E115" s="1" t="s">
        <v>38</v>
      </c>
      <c r="F115" s="1">
        <v>219160</v>
      </c>
      <c r="G115" s="1">
        <v>49</v>
      </c>
      <c r="H115" s="1">
        <v>288</v>
      </c>
      <c r="I115" s="1">
        <v>1.35</v>
      </c>
      <c r="J115" s="1">
        <v>63153</v>
      </c>
      <c r="K115" s="1">
        <v>49708</v>
      </c>
      <c r="L115" s="1">
        <v>18.2</v>
      </c>
      <c r="M115" s="1" t="s">
        <v>35</v>
      </c>
      <c r="N115" s="1">
        <v>42.9</v>
      </c>
      <c r="O115" s="1">
        <v>227.9</v>
      </c>
      <c r="P115" s="1">
        <v>2026</v>
      </c>
    </row>
    <row r="116" spans="1:16" x14ac:dyDescent="0.2">
      <c r="A116" s="1" t="s">
        <v>160</v>
      </c>
      <c r="B116" s="1" t="s">
        <v>40</v>
      </c>
      <c r="C116" s="1" t="s">
        <v>41</v>
      </c>
      <c r="D116" s="1" t="s">
        <v>44</v>
      </c>
      <c r="E116" s="1" t="s">
        <v>20</v>
      </c>
      <c r="F116" s="1">
        <v>717518</v>
      </c>
      <c r="G116" s="1">
        <v>41</v>
      </c>
      <c r="H116" s="1">
        <v>609</v>
      </c>
      <c r="I116" s="1">
        <v>1.5</v>
      </c>
      <c r="J116" s="1">
        <v>103016</v>
      </c>
      <c r="K116" s="1">
        <v>72910</v>
      </c>
      <c r="L116" s="1">
        <v>19.8</v>
      </c>
      <c r="M116" s="1" t="s">
        <v>35</v>
      </c>
      <c r="N116" s="1">
        <v>15.5</v>
      </c>
      <c r="O116" s="1">
        <v>289.3</v>
      </c>
      <c r="P116" s="1">
        <v>2026</v>
      </c>
    </row>
    <row r="117" spans="1:16" x14ac:dyDescent="0.2">
      <c r="A117" s="1" t="s">
        <v>161</v>
      </c>
      <c r="B117" s="1" t="s">
        <v>43</v>
      </c>
      <c r="C117" s="1" t="s">
        <v>18</v>
      </c>
      <c r="D117" s="1" t="s">
        <v>19</v>
      </c>
      <c r="E117" s="1" t="s">
        <v>20</v>
      </c>
      <c r="F117" s="1">
        <v>100369</v>
      </c>
      <c r="G117" s="1">
        <v>43</v>
      </c>
      <c r="H117" s="1">
        <v>476</v>
      </c>
      <c r="I117" s="1">
        <v>2.61</v>
      </c>
      <c r="J117" s="1">
        <v>120521</v>
      </c>
      <c r="K117" s="1">
        <v>31730</v>
      </c>
      <c r="L117" s="1">
        <v>20.399999999999999</v>
      </c>
      <c r="M117" s="1" t="s">
        <v>21</v>
      </c>
      <c r="N117" s="1">
        <v>28.5</v>
      </c>
      <c r="O117" s="1">
        <v>45.6</v>
      </c>
      <c r="P117" s="1">
        <v>2026</v>
      </c>
    </row>
    <row r="118" spans="1:16" x14ac:dyDescent="0.2">
      <c r="A118" s="1" t="s">
        <v>162</v>
      </c>
      <c r="B118" s="1" t="s">
        <v>56</v>
      </c>
      <c r="C118" s="1" t="s">
        <v>41</v>
      </c>
      <c r="D118" s="1" t="s">
        <v>48</v>
      </c>
      <c r="E118" s="1" t="s">
        <v>38</v>
      </c>
      <c r="F118" s="1">
        <v>14355</v>
      </c>
      <c r="G118" s="1">
        <v>55</v>
      </c>
      <c r="H118" s="1">
        <v>615</v>
      </c>
      <c r="I118" s="1">
        <v>2.14</v>
      </c>
      <c r="J118" s="1">
        <v>84525</v>
      </c>
      <c r="K118" s="1">
        <v>44533</v>
      </c>
      <c r="L118" s="1">
        <v>21.3</v>
      </c>
      <c r="M118" s="1" t="s">
        <v>21</v>
      </c>
      <c r="N118" s="1">
        <v>10.199999999999999</v>
      </c>
      <c r="O118" s="1">
        <v>288.8</v>
      </c>
      <c r="P118" s="1">
        <v>2026</v>
      </c>
    </row>
    <row r="119" spans="1:16" x14ac:dyDescent="0.2">
      <c r="A119" s="1" t="s">
        <v>163</v>
      </c>
      <c r="B119" s="1" t="s">
        <v>67</v>
      </c>
      <c r="C119" s="1" t="s">
        <v>18</v>
      </c>
      <c r="D119" s="1" t="s">
        <v>59</v>
      </c>
      <c r="E119" s="1" t="s">
        <v>26</v>
      </c>
      <c r="F119" s="1">
        <v>283024</v>
      </c>
      <c r="G119" s="1">
        <v>105</v>
      </c>
      <c r="H119" s="1">
        <v>534</v>
      </c>
      <c r="I119" s="1">
        <v>1.17</v>
      </c>
      <c r="J119" s="1">
        <v>180646</v>
      </c>
      <c r="K119" s="1">
        <v>54362</v>
      </c>
      <c r="L119" s="1">
        <v>14.4</v>
      </c>
      <c r="M119" s="1" t="s">
        <v>35</v>
      </c>
      <c r="N119" s="1">
        <v>42.4</v>
      </c>
      <c r="O119" s="1">
        <v>296</v>
      </c>
      <c r="P119" s="1">
        <v>2026</v>
      </c>
    </row>
    <row r="120" spans="1:16" ht="27.75" x14ac:dyDescent="0.2">
      <c r="A120" s="1" t="s">
        <v>164</v>
      </c>
      <c r="B120" s="1" t="s">
        <v>62</v>
      </c>
      <c r="C120" s="1" t="s">
        <v>41</v>
      </c>
      <c r="D120" s="1" t="s">
        <v>46</v>
      </c>
      <c r="E120" s="1" t="s">
        <v>20</v>
      </c>
      <c r="F120" s="1">
        <v>603746</v>
      </c>
      <c r="G120" s="1">
        <v>96</v>
      </c>
      <c r="H120" s="1">
        <v>462</v>
      </c>
      <c r="I120" s="1">
        <v>0.99</v>
      </c>
      <c r="J120" s="1">
        <v>92037</v>
      </c>
      <c r="K120" s="1">
        <v>76335</v>
      </c>
      <c r="L120" s="1">
        <v>16.2</v>
      </c>
      <c r="M120" s="1" t="s">
        <v>35</v>
      </c>
      <c r="N120" s="1">
        <v>47.3</v>
      </c>
      <c r="O120" s="1">
        <v>30</v>
      </c>
      <c r="P120" s="1">
        <v>2026</v>
      </c>
    </row>
    <row r="121" spans="1:16" x14ac:dyDescent="0.2">
      <c r="A121" s="1" t="s">
        <v>165</v>
      </c>
      <c r="B121" s="1" t="s">
        <v>43</v>
      </c>
      <c r="C121" s="1" t="s">
        <v>18</v>
      </c>
      <c r="D121" s="1" t="s">
        <v>25</v>
      </c>
      <c r="E121" s="1" t="s">
        <v>34</v>
      </c>
      <c r="F121" s="1">
        <v>377587</v>
      </c>
      <c r="G121" s="1">
        <v>95</v>
      </c>
      <c r="H121" s="1">
        <v>544</v>
      </c>
      <c r="I121" s="1">
        <v>2.9</v>
      </c>
      <c r="J121" s="1">
        <v>13476</v>
      </c>
      <c r="K121" s="1">
        <v>45555</v>
      </c>
      <c r="L121" s="1">
        <v>21.8</v>
      </c>
      <c r="M121" s="1" t="s">
        <v>35</v>
      </c>
      <c r="N121" s="1">
        <v>51</v>
      </c>
      <c r="O121" s="1">
        <v>258.10000000000002</v>
      </c>
      <c r="P121" s="1">
        <v>2026</v>
      </c>
    </row>
    <row r="122" spans="1:16" x14ac:dyDescent="0.2">
      <c r="A122" s="1" t="s">
        <v>166</v>
      </c>
      <c r="B122" s="1" t="s">
        <v>43</v>
      </c>
      <c r="C122" s="1" t="s">
        <v>18</v>
      </c>
      <c r="D122" s="1" t="s">
        <v>48</v>
      </c>
      <c r="E122" s="1" t="s">
        <v>38</v>
      </c>
      <c r="F122" s="1">
        <v>269513</v>
      </c>
      <c r="G122" s="1">
        <v>92</v>
      </c>
      <c r="H122" s="1">
        <v>259</v>
      </c>
      <c r="I122" s="1">
        <v>0.78</v>
      </c>
      <c r="J122" s="1">
        <v>32294</v>
      </c>
      <c r="K122" s="1">
        <v>56898</v>
      </c>
      <c r="L122" s="1">
        <v>17.399999999999999</v>
      </c>
      <c r="M122" s="1" t="s">
        <v>21</v>
      </c>
      <c r="N122" s="1">
        <v>47.5</v>
      </c>
      <c r="O122" s="1">
        <v>268.2</v>
      </c>
      <c r="P122" s="1">
        <v>2026</v>
      </c>
    </row>
    <row r="123" spans="1:16" ht="27.75" x14ac:dyDescent="0.2">
      <c r="A123" s="1" t="s">
        <v>167</v>
      </c>
      <c r="B123" s="1" t="s">
        <v>50</v>
      </c>
      <c r="C123" s="1" t="s">
        <v>24</v>
      </c>
      <c r="D123" s="1" t="s">
        <v>37</v>
      </c>
      <c r="E123" s="1" t="s">
        <v>26</v>
      </c>
      <c r="F123" s="1">
        <v>390308</v>
      </c>
      <c r="G123" s="1">
        <v>57</v>
      </c>
      <c r="H123" s="1">
        <v>391</v>
      </c>
      <c r="I123" s="1">
        <v>0.71</v>
      </c>
      <c r="J123" s="1">
        <v>44120</v>
      </c>
      <c r="K123" s="1">
        <v>65976</v>
      </c>
      <c r="L123" s="1">
        <v>18.100000000000001</v>
      </c>
      <c r="M123" s="1" t="s">
        <v>21</v>
      </c>
      <c r="N123" s="1">
        <v>64.599999999999994</v>
      </c>
      <c r="O123" s="1">
        <v>160.69999999999999</v>
      </c>
      <c r="P123" s="1">
        <v>2026</v>
      </c>
    </row>
    <row r="124" spans="1:16" x14ac:dyDescent="0.2">
      <c r="A124" s="1" t="s">
        <v>168</v>
      </c>
      <c r="B124" s="1" t="s">
        <v>28</v>
      </c>
      <c r="C124" s="1" t="s">
        <v>29</v>
      </c>
      <c r="D124" s="1" t="s">
        <v>19</v>
      </c>
      <c r="E124" s="1" t="s">
        <v>38</v>
      </c>
      <c r="F124" s="1">
        <v>500293</v>
      </c>
      <c r="G124" s="1">
        <v>111</v>
      </c>
      <c r="H124" s="1">
        <v>502</v>
      </c>
      <c r="I124" s="1">
        <v>0.82</v>
      </c>
      <c r="J124" s="1">
        <v>98659</v>
      </c>
      <c r="K124" s="1">
        <v>35812</v>
      </c>
      <c r="L124" s="1">
        <v>20.6</v>
      </c>
      <c r="M124" s="1" t="s">
        <v>21</v>
      </c>
      <c r="N124" s="1">
        <v>26.1</v>
      </c>
      <c r="O124" s="1">
        <v>235.8</v>
      </c>
      <c r="P124" s="1">
        <v>2026</v>
      </c>
    </row>
    <row r="125" spans="1:16" x14ac:dyDescent="0.2">
      <c r="A125" s="1" t="s">
        <v>169</v>
      </c>
      <c r="B125" s="1" t="s">
        <v>43</v>
      </c>
      <c r="C125" s="1" t="s">
        <v>18</v>
      </c>
      <c r="D125" s="1" t="s">
        <v>73</v>
      </c>
      <c r="E125" s="1" t="s">
        <v>38</v>
      </c>
      <c r="F125" s="1">
        <v>831320</v>
      </c>
      <c r="G125" s="1">
        <v>113</v>
      </c>
      <c r="H125" s="1">
        <v>334</v>
      </c>
      <c r="I125" s="1">
        <v>2.06</v>
      </c>
      <c r="J125" s="1">
        <v>83167</v>
      </c>
      <c r="K125" s="1">
        <v>51759</v>
      </c>
      <c r="L125" s="1">
        <v>18.899999999999999</v>
      </c>
      <c r="M125" s="1" t="s">
        <v>21</v>
      </c>
      <c r="N125" s="1">
        <v>33.4</v>
      </c>
      <c r="O125" s="1">
        <v>241.8</v>
      </c>
      <c r="P125" s="1">
        <v>2026</v>
      </c>
    </row>
    <row r="126" spans="1:16" ht="27.75" x14ac:dyDescent="0.2">
      <c r="A126" s="1" t="s">
        <v>170</v>
      </c>
      <c r="B126" s="1" t="s">
        <v>50</v>
      </c>
      <c r="C126" s="1" t="s">
        <v>24</v>
      </c>
      <c r="D126" s="1" t="s">
        <v>44</v>
      </c>
      <c r="E126" s="1" t="s">
        <v>20</v>
      </c>
      <c r="F126" s="1">
        <v>232435</v>
      </c>
      <c r="G126" s="1">
        <v>85</v>
      </c>
      <c r="H126" s="1">
        <v>262</v>
      </c>
      <c r="I126" s="1">
        <v>0.87</v>
      </c>
      <c r="J126" s="1">
        <v>196381</v>
      </c>
      <c r="K126" s="1">
        <v>75638</v>
      </c>
      <c r="L126" s="1">
        <v>22</v>
      </c>
      <c r="M126" s="1" t="s">
        <v>21</v>
      </c>
      <c r="N126" s="1">
        <v>46.7</v>
      </c>
      <c r="O126" s="1">
        <v>163</v>
      </c>
      <c r="P126" s="1">
        <v>2026</v>
      </c>
    </row>
    <row r="127" spans="1:16" x14ac:dyDescent="0.2">
      <c r="A127" s="1" t="s">
        <v>171</v>
      </c>
      <c r="B127" s="1" t="s">
        <v>28</v>
      </c>
      <c r="C127" s="1" t="s">
        <v>29</v>
      </c>
      <c r="D127" s="1" t="s">
        <v>48</v>
      </c>
      <c r="E127" s="1" t="s">
        <v>20</v>
      </c>
      <c r="F127" s="1">
        <v>794005</v>
      </c>
      <c r="G127" s="1">
        <v>110</v>
      </c>
      <c r="H127" s="1">
        <v>368</v>
      </c>
      <c r="I127" s="1">
        <v>2.52</v>
      </c>
      <c r="J127" s="1">
        <v>51036</v>
      </c>
      <c r="K127" s="1">
        <v>56961</v>
      </c>
      <c r="L127" s="1">
        <v>17.399999999999999</v>
      </c>
      <c r="M127" s="1" t="s">
        <v>35</v>
      </c>
      <c r="N127" s="1">
        <v>51</v>
      </c>
      <c r="O127" s="1">
        <v>33.5</v>
      </c>
      <c r="P127" s="1">
        <v>2026</v>
      </c>
    </row>
    <row r="128" spans="1:16" x14ac:dyDescent="0.2">
      <c r="A128" s="1" t="s">
        <v>172</v>
      </c>
      <c r="B128" s="1" t="s">
        <v>17</v>
      </c>
      <c r="C128" s="1" t="s">
        <v>18</v>
      </c>
      <c r="D128" s="1" t="s">
        <v>59</v>
      </c>
      <c r="E128" s="1" t="s">
        <v>26</v>
      </c>
      <c r="F128" s="1">
        <v>415174</v>
      </c>
      <c r="G128" s="1">
        <v>82</v>
      </c>
      <c r="H128" s="1">
        <v>635</v>
      </c>
      <c r="I128" s="1">
        <v>1.71</v>
      </c>
      <c r="J128" s="1">
        <v>70475</v>
      </c>
      <c r="K128" s="1">
        <v>29022</v>
      </c>
      <c r="L128" s="1">
        <v>15.7</v>
      </c>
      <c r="M128" s="1" t="s">
        <v>21</v>
      </c>
      <c r="N128" s="1">
        <v>15.9</v>
      </c>
      <c r="O128" s="1">
        <v>234.1</v>
      </c>
      <c r="P128" s="1">
        <v>2026</v>
      </c>
    </row>
    <row r="129" spans="1:16" x14ac:dyDescent="0.2">
      <c r="A129" s="1" t="s">
        <v>173</v>
      </c>
      <c r="B129" s="1" t="s">
        <v>56</v>
      </c>
      <c r="C129" s="1" t="s">
        <v>41</v>
      </c>
      <c r="D129" s="1" t="s">
        <v>73</v>
      </c>
      <c r="E129" s="1" t="s">
        <v>34</v>
      </c>
      <c r="F129" s="1">
        <v>898372</v>
      </c>
      <c r="G129" s="1">
        <v>59</v>
      </c>
      <c r="H129" s="1">
        <v>403</v>
      </c>
      <c r="I129" s="1">
        <v>2.42</v>
      </c>
      <c r="J129" s="1">
        <v>23441</v>
      </c>
      <c r="K129" s="1">
        <v>52611</v>
      </c>
      <c r="L129" s="1">
        <v>23.4</v>
      </c>
      <c r="M129" s="1" t="s">
        <v>35</v>
      </c>
      <c r="N129" s="1">
        <v>25</v>
      </c>
      <c r="O129" s="1">
        <v>161.5</v>
      </c>
      <c r="P129" s="1">
        <v>2026</v>
      </c>
    </row>
    <row r="130" spans="1:16" x14ac:dyDescent="0.2">
      <c r="A130" s="1" t="s">
        <v>174</v>
      </c>
      <c r="B130" s="1" t="s">
        <v>56</v>
      </c>
      <c r="C130" s="1" t="s">
        <v>41</v>
      </c>
      <c r="D130" s="1" t="s">
        <v>73</v>
      </c>
      <c r="E130" s="1" t="s">
        <v>26</v>
      </c>
      <c r="F130" s="1">
        <v>23946</v>
      </c>
      <c r="G130" s="1">
        <v>91</v>
      </c>
      <c r="H130" s="1">
        <v>391</v>
      </c>
      <c r="I130" s="1">
        <v>2.4700000000000002</v>
      </c>
      <c r="J130" s="1">
        <v>58580</v>
      </c>
      <c r="K130" s="1">
        <v>57412</v>
      </c>
      <c r="L130" s="1">
        <v>20.100000000000001</v>
      </c>
      <c r="M130" s="1" t="s">
        <v>35</v>
      </c>
      <c r="N130" s="1">
        <v>25.2</v>
      </c>
      <c r="O130" s="1">
        <v>82.3</v>
      </c>
      <c r="P130" s="1">
        <v>2026</v>
      </c>
    </row>
    <row r="131" spans="1:16" ht="27.75" x14ac:dyDescent="0.2">
      <c r="A131" s="1" t="s">
        <v>175</v>
      </c>
      <c r="B131" s="1" t="s">
        <v>50</v>
      </c>
      <c r="C131" s="1" t="s">
        <v>24</v>
      </c>
      <c r="D131" s="1" t="s">
        <v>59</v>
      </c>
      <c r="E131" s="1" t="s">
        <v>34</v>
      </c>
      <c r="F131" s="1">
        <v>81189</v>
      </c>
      <c r="G131" s="1">
        <v>61</v>
      </c>
      <c r="H131" s="1">
        <v>411</v>
      </c>
      <c r="I131" s="1">
        <v>1.84</v>
      </c>
      <c r="J131" s="1">
        <v>31047</v>
      </c>
      <c r="K131" s="1">
        <v>80499</v>
      </c>
      <c r="L131" s="1">
        <v>21.3</v>
      </c>
      <c r="M131" s="1" t="s">
        <v>35</v>
      </c>
      <c r="N131" s="1">
        <v>17.399999999999999</v>
      </c>
      <c r="O131" s="1">
        <v>10.7</v>
      </c>
      <c r="P131" s="1">
        <v>2026</v>
      </c>
    </row>
    <row r="132" spans="1:16" x14ac:dyDescent="0.2">
      <c r="A132" s="1" t="s">
        <v>176</v>
      </c>
      <c r="B132" s="1" t="s">
        <v>56</v>
      </c>
      <c r="C132" s="1" t="s">
        <v>41</v>
      </c>
      <c r="D132" s="1" t="s">
        <v>25</v>
      </c>
      <c r="E132" s="1" t="s">
        <v>34</v>
      </c>
      <c r="F132" s="1">
        <v>821897</v>
      </c>
      <c r="G132" s="1">
        <v>107</v>
      </c>
      <c r="H132" s="1">
        <v>324</v>
      </c>
      <c r="I132" s="1">
        <v>1.95</v>
      </c>
      <c r="J132" s="1">
        <v>190092</v>
      </c>
      <c r="K132" s="1">
        <v>68346</v>
      </c>
      <c r="L132" s="1">
        <v>19.8</v>
      </c>
      <c r="M132" s="1" t="s">
        <v>21</v>
      </c>
      <c r="N132" s="1">
        <v>11.4</v>
      </c>
      <c r="O132" s="1">
        <v>88.7</v>
      </c>
      <c r="P132" s="1">
        <v>2026</v>
      </c>
    </row>
    <row r="133" spans="1:16" x14ac:dyDescent="0.2">
      <c r="A133" s="1" t="s">
        <v>177</v>
      </c>
      <c r="B133" s="1" t="s">
        <v>28</v>
      </c>
      <c r="C133" s="1" t="s">
        <v>29</v>
      </c>
      <c r="D133" s="1" t="s">
        <v>25</v>
      </c>
      <c r="E133" s="1" t="s">
        <v>26</v>
      </c>
      <c r="F133" s="1">
        <v>414758</v>
      </c>
      <c r="G133" s="1">
        <v>69</v>
      </c>
      <c r="H133" s="1">
        <v>430</v>
      </c>
      <c r="I133" s="1">
        <v>2.96</v>
      </c>
      <c r="J133" s="1">
        <v>48540</v>
      </c>
      <c r="K133" s="1">
        <v>75367</v>
      </c>
      <c r="L133" s="1">
        <v>22.1</v>
      </c>
      <c r="M133" s="1" t="s">
        <v>21</v>
      </c>
      <c r="N133" s="1">
        <v>56.3</v>
      </c>
      <c r="O133" s="1">
        <v>266.5</v>
      </c>
      <c r="P133" s="1">
        <v>2026</v>
      </c>
    </row>
    <row r="134" spans="1:16" x14ac:dyDescent="0.2">
      <c r="A134" s="1" t="s">
        <v>178</v>
      </c>
      <c r="B134" s="1" t="s">
        <v>67</v>
      </c>
      <c r="C134" s="1" t="s">
        <v>18</v>
      </c>
      <c r="D134" s="1" t="s">
        <v>44</v>
      </c>
      <c r="E134" s="1" t="s">
        <v>34</v>
      </c>
      <c r="F134" s="1">
        <v>181971</v>
      </c>
      <c r="G134" s="1">
        <v>57</v>
      </c>
      <c r="H134" s="1">
        <v>516</v>
      </c>
      <c r="I134" s="1">
        <v>2.37</v>
      </c>
      <c r="J134" s="1">
        <v>14608</v>
      </c>
      <c r="K134" s="1">
        <v>59718</v>
      </c>
      <c r="L134" s="1">
        <v>22.8</v>
      </c>
      <c r="M134" s="1" t="s">
        <v>21</v>
      </c>
      <c r="N134" s="1">
        <v>28.2</v>
      </c>
      <c r="O134" s="1">
        <v>87.1</v>
      </c>
      <c r="P134" s="1">
        <v>2026</v>
      </c>
    </row>
    <row r="135" spans="1:16" ht="27.75" x14ac:dyDescent="0.2">
      <c r="A135" s="1" t="s">
        <v>179</v>
      </c>
      <c r="B135" s="1" t="s">
        <v>23</v>
      </c>
      <c r="C135" s="1" t="s">
        <v>24</v>
      </c>
      <c r="D135" s="1" t="s">
        <v>37</v>
      </c>
      <c r="E135" s="1" t="s">
        <v>26</v>
      </c>
      <c r="F135" s="1">
        <v>561146</v>
      </c>
      <c r="G135" s="1">
        <v>96</v>
      </c>
      <c r="H135" s="1">
        <v>540</v>
      </c>
      <c r="I135" s="1">
        <v>1.68</v>
      </c>
      <c r="J135" s="1">
        <v>15959</v>
      </c>
      <c r="K135" s="1">
        <v>51940</v>
      </c>
      <c r="L135" s="1">
        <v>18.100000000000001</v>
      </c>
      <c r="M135" s="1" t="s">
        <v>21</v>
      </c>
      <c r="N135" s="1">
        <v>26.1</v>
      </c>
      <c r="O135" s="1">
        <v>37.5</v>
      </c>
      <c r="P135" s="1">
        <v>2026</v>
      </c>
    </row>
    <row r="136" spans="1:16" ht="27.75" x14ac:dyDescent="0.2">
      <c r="A136" s="1" t="s">
        <v>180</v>
      </c>
      <c r="B136" s="1" t="s">
        <v>50</v>
      </c>
      <c r="C136" s="1" t="s">
        <v>24</v>
      </c>
      <c r="D136" s="1" t="s">
        <v>25</v>
      </c>
      <c r="E136" s="1" t="s">
        <v>26</v>
      </c>
      <c r="F136" s="1">
        <v>592537</v>
      </c>
      <c r="G136" s="1">
        <v>62</v>
      </c>
      <c r="H136" s="1">
        <v>585</v>
      </c>
      <c r="I136" s="1">
        <v>1.24</v>
      </c>
      <c r="J136" s="1">
        <v>141356</v>
      </c>
      <c r="K136" s="1">
        <v>42474</v>
      </c>
      <c r="L136" s="1">
        <v>13.2</v>
      </c>
      <c r="M136" s="1" t="s">
        <v>21</v>
      </c>
      <c r="N136" s="1">
        <v>20.5</v>
      </c>
      <c r="O136" s="1">
        <v>75.599999999999994</v>
      </c>
      <c r="P136" s="1">
        <v>2026</v>
      </c>
    </row>
    <row r="137" spans="1:16" ht="27.75" x14ac:dyDescent="0.2">
      <c r="A137" s="1" t="s">
        <v>181</v>
      </c>
      <c r="B137" s="1" t="s">
        <v>50</v>
      </c>
      <c r="C137" s="1" t="s">
        <v>24</v>
      </c>
      <c r="D137" s="1" t="s">
        <v>30</v>
      </c>
      <c r="E137" s="1" t="s">
        <v>26</v>
      </c>
      <c r="F137" s="1">
        <v>316468</v>
      </c>
      <c r="G137" s="1">
        <v>53</v>
      </c>
      <c r="H137" s="1">
        <v>590</v>
      </c>
      <c r="I137" s="1">
        <v>2.23</v>
      </c>
      <c r="J137" s="1">
        <v>144879</v>
      </c>
      <c r="K137" s="1">
        <v>32916</v>
      </c>
      <c r="L137" s="1">
        <v>18.5</v>
      </c>
      <c r="M137" s="1" t="s">
        <v>21</v>
      </c>
      <c r="N137" s="1">
        <v>37.200000000000003</v>
      </c>
      <c r="O137" s="1">
        <v>24.9</v>
      </c>
      <c r="P137" s="1">
        <v>2026</v>
      </c>
    </row>
    <row r="138" spans="1:16" x14ac:dyDescent="0.2">
      <c r="A138" s="1" t="s">
        <v>182</v>
      </c>
      <c r="B138" s="1" t="s">
        <v>43</v>
      </c>
      <c r="C138" s="1" t="s">
        <v>18</v>
      </c>
      <c r="D138" s="1" t="s">
        <v>59</v>
      </c>
      <c r="E138" s="1" t="s">
        <v>34</v>
      </c>
      <c r="F138" s="1">
        <v>211234</v>
      </c>
      <c r="G138" s="1">
        <v>43</v>
      </c>
      <c r="H138" s="1">
        <v>599</v>
      </c>
      <c r="I138" s="1">
        <v>0.51</v>
      </c>
      <c r="J138" s="1">
        <v>194795</v>
      </c>
      <c r="K138" s="1">
        <v>35019</v>
      </c>
      <c r="L138" s="1">
        <v>17.100000000000001</v>
      </c>
      <c r="M138" s="1" t="s">
        <v>21</v>
      </c>
      <c r="N138" s="1">
        <v>58.5</v>
      </c>
      <c r="O138" s="1">
        <v>6.2</v>
      </c>
      <c r="P138" s="1">
        <v>2026</v>
      </c>
    </row>
    <row r="139" spans="1:16" x14ac:dyDescent="0.2">
      <c r="A139" s="1" t="s">
        <v>183</v>
      </c>
      <c r="B139" s="1" t="s">
        <v>40</v>
      </c>
      <c r="C139" s="1" t="s">
        <v>41</v>
      </c>
      <c r="D139" s="1" t="s">
        <v>37</v>
      </c>
      <c r="E139" s="1" t="s">
        <v>34</v>
      </c>
      <c r="F139" s="1">
        <v>369507</v>
      </c>
      <c r="G139" s="1">
        <v>99</v>
      </c>
      <c r="H139" s="1">
        <v>369</v>
      </c>
      <c r="I139" s="1">
        <v>2.88</v>
      </c>
      <c r="J139" s="1">
        <v>19285</v>
      </c>
      <c r="K139" s="1">
        <v>83940</v>
      </c>
      <c r="L139" s="1">
        <v>19.600000000000001</v>
      </c>
      <c r="M139" s="1" t="s">
        <v>21</v>
      </c>
      <c r="N139" s="1">
        <v>28.5</v>
      </c>
      <c r="O139" s="1">
        <v>239.5</v>
      </c>
      <c r="P139" s="1">
        <v>2026</v>
      </c>
    </row>
    <row r="140" spans="1:16" x14ac:dyDescent="0.2">
      <c r="A140" s="1" t="s">
        <v>184</v>
      </c>
      <c r="B140" s="1" t="s">
        <v>43</v>
      </c>
      <c r="C140" s="1" t="s">
        <v>18</v>
      </c>
      <c r="D140" s="1" t="s">
        <v>32</v>
      </c>
      <c r="E140" s="1" t="s">
        <v>34</v>
      </c>
      <c r="F140" s="1">
        <v>6711</v>
      </c>
      <c r="G140" s="1">
        <v>79</v>
      </c>
      <c r="H140" s="1">
        <v>319</v>
      </c>
      <c r="I140" s="1">
        <v>2.1</v>
      </c>
      <c r="J140" s="1">
        <v>90588</v>
      </c>
      <c r="K140" s="1">
        <v>66616</v>
      </c>
      <c r="L140" s="1">
        <v>15.4</v>
      </c>
      <c r="M140" s="1" t="s">
        <v>35</v>
      </c>
      <c r="N140" s="1">
        <v>50.1</v>
      </c>
      <c r="O140" s="1">
        <v>165.1</v>
      </c>
      <c r="P140" s="1">
        <v>2026</v>
      </c>
    </row>
    <row r="141" spans="1:16" x14ac:dyDescent="0.2">
      <c r="A141" s="1" t="s">
        <v>185</v>
      </c>
      <c r="B141" s="1" t="s">
        <v>67</v>
      </c>
      <c r="C141" s="1" t="s">
        <v>18</v>
      </c>
      <c r="D141" s="1" t="s">
        <v>59</v>
      </c>
      <c r="E141" s="1" t="s">
        <v>26</v>
      </c>
      <c r="F141" s="1">
        <v>869469</v>
      </c>
      <c r="G141" s="1">
        <v>97</v>
      </c>
      <c r="H141" s="1">
        <v>436</v>
      </c>
      <c r="I141" s="1">
        <v>1.02</v>
      </c>
      <c r="J141" s="1">
        <v>65981</v>
      </c>
      <c r="K141" s="1">
        <v>62651</v>
      </c>
      <c r="L141" s="1">
        <v>15.1</v>
      </c>
      <c r="M141" s="1" t="s">
        <v>21</v>
      </c>
      <c r="N141" s="1">
        <v>33.700000000000003</v>
      </c>
      <c r="O141" s="1">
        <v>165.4</v>
      </c>
      <c r="P141" s="1">
        <v>2026</v>
      </c>
    </row>
    <row r="142" spans="1:16" x14ac:dyDescent="0.2">
      <c r="A142" s="1" t="s">
        <v>186</v>
      </c>
      <c r="B142" s="1" t="s">
        <v>17</v>
      </c>
      <c r="C142" s="1" t="s">
        <v>18</v>
      </c>
      <c r="D142" s="1" t="s">
        <v>37</v>
      </c>
      <c r="E142" s="1" t="s">
        <v>38</v>
      </c>
      <c r="F142" s="1">
        <v>626027</v>
      </c>
      <c r="G142" s="1">
        <v>41</v>
      </c>
      <c r="H142" s="1">
        <v>444</v>
      </c>
      <c r="I142" s="1">
        <v>1</v>
      </c>
      <c r="J142" s="1">
        <v>23121</v>
      </c>
      <c r="K142" s="1">
        <v>83208</v>
      </c>
      <c r="L142" s="1">
        <v>13.5</v>
      </c>
      <c r="M142" s="1" t="s">
        <v>35</v>
      </c>
      <c r="N142" s="1">
        <v>8</v>
      </c>
      <c r="O142" s="1">
        <v>11.7</v>
      </c>
      <c r="P142" s="1">
        <v>2026</v>
      </c>
    </row>
    <row r="143" spans="1:16" x14ac:dyDescent="0.2">
      <c r="A143" s="1" t="s">
        <v>187</v>
      </c>
      <c r="B143" s="1" t="s">
        <v>17</v>
      </c>
      <c r="C143" s="1" t="s">
        <v>18</v>
      </c>
      <c r="D143" s="1" t="s">
        <v>32</v>
      </c>
      <c r="E143" s="1" t="s">
        <v>38</v>
      </c>
      <c r="F143" s="1">
        <v>205490</v>
      </c>
      <c r="G143" s="1">
        <v>88</v>
      </c>
      <c r="H143" s="1">
        <v>596</v>
      </c>
      <c r="I143" s="1">
        <v>1.48</v>
      </c>
      <c r="J143" s="1">
        <v>120161</v>
      </c>
      <c r="K143" s="1">
        <v>75085</v>
      </c>
      <c r="L143" s="1">
        <v>24.4</v>
      </c>
      <c r="M143" s="1" t="s">
        <v>21</v>
      </c>
      <c r="N143" s="1">
        <v>54</v>
      </c>
      <c r="O143" s="1">
        <v>159.9</v>
      </c>
      <c r="P143" s="1">
        <v>2026</v>
      </c>
    </row>
    <row r="144" spans="1:16" x14ac:dyDescent="0.2">
      <c r="A144" s="1" t="s">
        <v>188</v>
      </c>
      <c r="B144" s="1" t="s">
        <v>17</v>
      </c>
      <c r="C144" s="1" t="s">
        <v>18</v>
      </c>
      <c r="D144" s="1" t="s">
        <v>48</v>
      </c>
      <c r="E144" s="1" t="s">
        <v>38</v>
      </c>
      <c r="F144" s="1">
        <v>726904</v>
      </c>
      <c r="G144" s="1">
        <v>58</v>
      </c>
      <c r="H144" s="1">
        <v>599</v>
      </c>
      <c r="I144" s="1">
        <v>0.69</v>
      </c>
      <c r="J144" s="1">
        <v>85835</v>
      </c>
      <c r="K144" s="1">
        <v>61632</v>
      </c>
      <c r="L144" s="1">
        <v>22.2</v>
      </c>
      <c r="M144" s="1" t="s">
        <v>35</v>
      </c>
      <c r="N144" s="1">
        <v>41.3</v>
      </c>
      <c r="O144" s="1">
        <v>48.4</v>
      </c>
      <c r="P144" s="1">
        <v>2026</v>
      </c>
    </row>
    <row r="145" spans="1:16" x14ac:dyDescent="0.2">
      <c r="A145" s="1" t="s">
        <v>189</v>
      </c>
      <c r="B145" s="1" t="s">
        <v>56</v>
      </c>
      <c r="C145" s="1" t="s">
        <v>41</v>
      </c>
      <c r="D145" s="1" t="s">
        <v>46</v>
      </c>
      <c r="E145" s="1" t="s">
        <v>20</v>
      </c>
      <c r="F145" s="1">
        <v>427422</v>
      </c>
      <c r="G145" s="1">
        <v>41</v>
      </c>
      <c r="H145" s="1">
        <v>573</v>
      </c>
      <c r="I145" s="1">
        <v>2.2400000000000002</v>
      </c>
      <c r="J145" s="1">
        <v>6415</v>
      </c>
      <c r="K145" s="1">
        <v>77473</v>
      </c>
      <c r="L145" s="1">
        <v>13.6</v>
      </c>
      <c r="M145" s="1" t="s">
        <v>21</v>
      </c>
      <c r="N145" s="1">
        <v>53.9</v>
      </c>
      <c r="O145" s="1">
        <v>108.2</v>
      </c>
      <c r="P145" s="1">
        <v>2026</v>
      </c>
    </row>
    <row r="146" spans="1:16" x14ac:dyDescent="0.2">
      <c r="A146" s="1" t="s">
        <v>190</v>
      </c>
      <c r="B146" s="1" t="s">
        <v>40</v>
      </c>
      <c r="C146" s="1" t="s">
        <v>41</v>
      </c>
      <c r="D146" s="1" t="s">
        <v>44</v>
      </c>
      <c r="E146" s="1" t="s">
        <v>34</v>
      </c>
      <c r="F146" s="1">
        <v>20665</v>
      </c>
      <c r="G146" s="1">
        <v>73</v>
      </c>
      <c r="H146" s="1">
        <v>488</v>
      </c>
      <c r="I146" s="1">
        <v>1.51</v>
      </c>
      <c r="J146" s="1">
        <v>46354</v>
      </c>
      <c r="K146" s="1">
        <v>47706</v>
      </c>
      <c r="L146" s="1">
        <v>14.2</v>
      </c>
      <c r="M146" s="1" t="s">
        <v>35</v>
      </c>
      <c r="N146" s="1">
        <v>54.4</v>
      </c>
      <c r="O146" s="1">
        <v>6.5</v>
      </c>
      <c r="P146" s="1">
        <v>2026</v>
      </c>
    </row>
    <row r="147" spans="1:16" ht="27.75" x14ac:dyDescent="0.2">
      <c r="A147" s="1" t="s">
        <v>191</v>
      </c>
      <c r="B147" s="1" t="s">
        <v>23</v>
      </c>
      <c r="C147" s="1" t="s">
        <v>24</v>
      </c>
      <c r="D147" s="1" t="s">
        <v>46</v>
      </c>
      <c r="E147" s="1" t="s">
        <v>26</v>
      </c>
      <c r="F147" s="1">
        <v>808035</v>
      </c>
      <c r="G147" s="1">
        <v>100</v>
      </c>
      <c r="H147" s="1">
        <v>257</v>
      </c>
      <c r="I147" s="1">
        <v>1.04</v>
      </c>
      <c r="J147" s="1">
        <v>166449</v>
      </c>
      <c r="K147" s="1">
        <v>55951</v>
      </c>
      <c r="L147" s="1">
        <v>24.1</v>
      </c>
      <c r="M147" s="1" t="s">
        <v>35</v>
      </c>
      <c r="N147" s="1">
        <v>54.1</v>
      </c>
      <c r="O147" s="1">
        <v>132.1</v>
      </c>
      <c r="P147" s="1">
        <v>2026</v>
      </c>
    </row>
    <row r="148" spans="1:16" x14ac:dyDescent="0.2">
      <c r="A148" s="1" t="s">
        <v>192</v>
      </c>
      <c r="B148" s="1" t="s">
        <v>40</v>
      </c>
      <c r="C148" s="1" t="s">
        <v>41</v>
      </c>
      <c r="D148" s="1" t="s">
        <v>46</v>
      </c>
      <c r="E148" s="1" t="s">
        <v>38</v>
      </c>
      <c r="F148" s="1">
        <v>27517</v>
      </c>
      <c r="G148" s="1">
        <v>84</v>
      </c>
      <c r="H148" s="1">
        <v>341</v>
      </c>
      <c r="I148" s="1">
        <v>1</v>
      </c>
      <c r="J148" s="1">
        <v>53683</v>
      </c>
      <c r="K148" s="1">
        <v>80628</v>
      </c>
      <c r="L148" s="1">
        <v>14.8</v>
      </c>
      <c r="M148" s="1" t="s">
        <v>21</v>
      </c>
      <c r="N148" s="1">
        <v>63.5</v>
      </c>
      <c r="O148" s="1">
        <v>194</v>
      </c>
      <c r="P148" s="1">
        <v>2026</v>
      </c>
    </row>
    <row r="149" spans="1:16" x14ac:dyDescent="0.2">
      <c r="A149" s="1" t="s">
        <v>193</v>
      </c>
      <c r="B149" s="1" t="s">
        <v>67</v>
      </c>
      <c r="C149" s="1" t="s">
        <v>18</v>
      </c>
      <c r="D149" s="1" t="s">
        <v>46</v>
      </c>
      <c r="E149" s="1" t="s">
        <v>26</v>
      </c>
      <c r="F149" s="1">
        <v>719045</v>
      </c>
      <c r="G149" s="1">
        <v>104</v>
      </c>
      <c r="H149" s="1">
        <v>503</v>
      </c>
      <c r="I149" s="1">
        <v>2.72</v>
      </c>
      <c r="J149" s="1">
        <v>51644</v>
      </c>
      <c r="K149" s="1">
        <v>77063</v>
      </c>
      <c r="L149" s="1">
        <v>12.6</v>
      </c>
      <c r="M149" s="1" t="s">
        <v>35</v>
      </c>
      <c r="N149" s="1">
        <v>29</v>
      </c>
      <c r="O149" s="1">
        <v>259.10000000000002</v>
      </c>
      <c r="P149" s="1">
        <v>2026</v>
      </c>
    </row>
    <row r="150" spans="1:16" x14ac:dyDescent="0.2">
      <c r="A150" s="1" t="s">
        <v>194</v>
      </c>
      <c r="B150" s="1" t="s">
        <v>43</v>
      </c>
      <c r="C150" s="1" t="s">
        <v>18</v>
      </c>
      <c r="D150" s="1" t="s">
        <v>44</v>
      </c>
      <c r="E150" s="1" t="s">
        <v>38</v>
      </c>
      <c r="F150" s="1">
        <v>420242</v>
      </c>
      <c r="G150" s="1">
        <v>77</v>
      </c>
      <c r="H150" s="1">
        <v>474</v>
      </c>
      <c r="I150" s="1">
        <v>2.41</v>
      </c>
      <c r="J150" s="1">
        <v>185563</v>
      </c>
      <c r="K150" s="1">
        <v>77701</v>
      </c>
      <c r="L150" s="1">
        <v>21.5</v>
      </c>
      <c r="M150" s="1" t="s">
        <v>21</v>
      </c>
      <c r="N150" s="1">
        <v>37.9</v>
      </c>
      <c r="O150" s="1">
        <v>67.599999999999994</v>
      </c>
      <c r="P150" s="1">
        <v>2026</v>
      </c>
    </row>
    <row r="151" spans="1:16" x14ac:dyDescent="0.2">
      <c r="A151" s="1" t="s">
        <v>195</v>
      </c>
      <c r="B151" s="1" t="s">
        <v>43</v>
      </c>
      <c r="C151" s="1" t="s">
        <v>18</v>
      </c>
      <c r="D151" s="1" t="s">
        <v>59</v>
      </c>
      <c r="E151" s="1" t="s">
        <v>26</v>
      </c>
      <c r="F151" s="1">
        <v>558455</v>
      </c>
      <c r="G151" s="1">
        <v>76</v>
      </c>
      <c r="H151" s="1">
        <v>464</v>
      </c>
      <c r="I151" s="1">
        <v>2.96</v>
      </c>
      <c r="J151" s="1">
        <v>146571</v>
      </c>
      <c r="K151" s="1">
        <v>51639</v>
      </c>
      <c r="L151" s="1">
        <v>21</v>
      </c>
      <c r="M151" s="1" t="s">
        <v>35</v>
      </c>
      <c r="N151" s="1">
        <v>61</v>
      </c>
      <c r="O151" s="1">
        <v>14.9</v>
      </c>
      <c r="P151" s="1">
        <v>2026</v>
      </c>
    </row>
    <row r="152" spans="1:16" x14ac:dyDescent="0.2">
      <c r="A152" s="1" t="s">
        <v>196</v>
      </c>
      <c r="B152" s="1" t="s">
        <v>53</v>
      </c>
      <c r="C152" s="1" t="s">
        <v>41</v>
      </c>
      <c r="D152" s="1" t="s">
        <v>48</v>
      </c>
      <c r="E152" s="1" t="s">
        <v>26</v>
      </c>
      <c r="F152" s="1">
        <v>186218</v>
      </c>
      <c r="G152" s="1">
        <v>114</v>
      </c>
      <c r="H152" s="1">
        <v>396</v>
      </c>
      <c r="I152" s="1">
        <v>1.1599999999999999</v>
      </c>
      <c r="J152" s="1">
        <v>23550</v>
      </c>
      <c r="K152" s="1">
        <v>69770</v>
      </c>
      <c r="L152" s="1">
        <v>13.8</v>
      </c>
      <c r="M152" s="1" t="s">
        <v>21</v>
      </c>
      <c r="N152" s="1">
        <v>60.2</v>
      </c>
      <c r="O152" s="1">
        <v>242.7</v>
      </c>
      <c r="P152" s="1">
        <v>2026</v>
      </c>
    </row>
    <row r="153" spans="1:16" x14ac:dyDescent="0.2">
      <c r="A153" s="1" t="s">
        <v>197</v>
      </c>
      <c r="B153" s="1" t="s">
        <v>67</v>
      </c>
      <c r="C153" s="1" t="s">
        <v>18</v>
      </c>
      <c r="D153" s="1" t="s">
        <v>19</v>
      </c>
      <c r="E153" s="1" t="s">
        <v>20</v>
      </c>
      <c r="F153" s="1">
        <v>729972</v>
      </c>
      <c r="G153" s="1">
        <v>45</v>
      </c>
      <c r="H153" s="1">
        <v>475</v>
      </c>
      <c r="I153" s="1">
        <v>1.49</v>
      </c>
      <c r="J153" s="1">
        <v>92944</v>
      </c>
      <c r="K153" s="1">
        <v>84382</v>
      </c>
      <c r="L153" s="1">
        <v>24.2</v>
      </c>
      <c r="M153" s="1" t="s">
        <v>35</v>
      </c>
      <c r="N153" s="1">
        <v>21.3</v>
      </c>
      <c r="O153" s="1">
        <v>227</v>
      </c>
      <c r="P153" s="1">
        <v>2026</v>
      </c>
    </row>
    <row r="154" spans="1:16" x14ac:dyDescent="0.2">
      <c r="A154" s="1" t="s">
        <v>198</v>
      </c>
      <c r="B154" s="1" t="s">
        <v>67</v>
      </c>
      <c r="C154" s="1" t="s">
        <v>18</v>
      </c>
      <c r="D154" s="1" t="s">
        <v>59</v>
      </c>
      <c r="E154" s="1" t="s">
        <v>38</v>
      </c>
      <c r="F154" s="1">
        <v>722718</v>
      </c>
      <c r="G154" s="1">
        <v>110</v>
      </c>
      <c r="H154" s="1">
        <v>281</v>
      </c>
      <c r="I154" s="1">
        <v>1.1399999999999999</v>
      </c>
      <c r="J154" s="1">
        <v>10093</v>
      </c>
      <c r="K154" s="1">
        <v>69511</v>
      </c>
      <c r="L154" s="1">
        <v>13.4</v>
      </c>
      <c r="M154" s="1" t="s">
        <v>21</v>
      </c>
      <c r="N154" s="1">
        <v>26.8</v>
      </c>
      <c r="O154" s="1">
        <v>194.7</v>
      </c>
      <c r="P154" s="1">
        <v>2026</v>
      </c>
    </row>
    <row r="155" spans="1:16" ht="27.75" x14ac:dyDescent="0.2">
      <c r="A155" s="1" t="s">
        <v>199</v>
      </c>
      <c r="B155" s="1" t="s">
        <v>23</v>
      </c>
      <c r="C155" s="1" t="s">
        <v>24</v>
      </c>
      <c r="D155" s="1" t="s">
        <v>32</v>
      </c>
      <c r="E155" s="1" t="s">
        <v>38</v>
      </c>
      <c r="F155" s="1">
        <v>611341</v>
      </c>
      <c r="G155" s="1">
        <v>103</v>
      </c>
      <c r="H155" s="1">
        <v>460</v>
      </c>
      <c r="I155" s="1">
        <v>2.19</v>
      </c>
      <c r="J155" s="1">
        <v>110857</v>
      </c>
      <c r="K155" s="1">
        <v>43696</v>
      </c>
      <c r="L155" s="1">
        <v>16.5</v>
      </c>
      <c r="M155" s="1" t="s">
        <v>21</v>
      </c>
      <c r="N155" s="1">
        <v>18.399999999999999</v>
      </c>
      <c r="O155" s="1">
        <v>135.4</v>
      </c>
      <c r="P155" s="1">
        <v>2026</v>
      </c>
    </row>
    <row r="156" spans="1:16" ht="27.75" x14ac:dyDescent="0.2">
      <c r="A156" s="1" t="s">
        <v>200</v>
      </c>
      <c r="B156" s="1" t="s">
        <v>50</v>
      </c>
      <c r="C156" s="1" t="s">
        <v>24</v>
      </c>
      <c r="D156" s="1" t="s">
        <v>25</v>
      </c>
      <c r="E156" s="1" t="s">
        <v>20</v>
      </c>
      <c r="F156" s="1">
        <v>85528</v>
      </c>
      <c r="G156" s="1">
        <v>45</v>
      </c>
      <c r="H156" s="1">
        <v>597</v>
      </c>
      <c r="I156" s="1">
        <v>1.74</v>
      </c>
      <c r="J156" s="1">
        <v>31189</v>
      </c>
      <c r="K156" s="1">
        <v>43595</v>
      </c>
      <c r="L156" s="1">
        <v>18.399999999999999</v>
      </c>
      <c r="M156" s="1" t="s">
        <v>21</v>
      </c>
      <c r="N156" s="1">
        <v>29.5</v>
      </c>
      <c r="O156" s="1">
        <v>229.5</v>
      </c>
      <c r="P156" s="1">
        <v>2026</v>
      </c>
    </row>
    <row r="157" spans="1:16" ht="27.75" x14ac:dyDescent="0.2">
      <c r="A157" s="1" t="s">
        <v>201</v>
      </c>
      <c r="B157" s="1" t="s">
        <v>23</v>
      </c>
      <c r="C157" s="1" t="s">
        <v>24</v>
      </c>
      <c r="D157" s="1" t="s">
        <v>32</v>
      </c>
      <c r="E157" s="1" t="s">
        <v>20</v>
      </c>
      <c r="F157" s="1">
        <v>611818</v>
      </c>
      <c r="G157" s="1">
        <v>48</v>
      </c>
      <c r="H157" s="1">
        <v>365</v>
      </c>
      <c r="I157" s="1">
        <v>2.97</v>
      </c>
      <c r="J157" s="1">
        <v>123578</v>
      </c>
      <c r="K157" s="1">
        <v>78297</v>
      </c>
      <c r="L157" s="1">
        <v>13.1</v>
      </c>
      <c r="M157" s="1" t="s">
        <v>35</v>
      </c>
      <c r="N157" s="1">
        <v>38.4</v>
      </c>
      <c r="O157" s="1">
        <v>190</v>
      </c>
      <c r="P157" s="1">
        <v>2026</v>
      </c>
    </row>
    <row r="158" spans="1:16" x14ac:dyDescent="0.2">
      <c r="A158" s="1" t="s">
        <v>202</v>
      </c>
      <c r="B158" s="1" t="s">
        <v>43</v>
      </c>
      <c r="C158" s="1" t="s">
        <v>18</v>
      </c>
      <c r="D158" s="1" t="s">
        <v>46</v>
      </c>
      <c r="E158" s="1" t="s">
        <v>20</v>
      </c>
      <c r="F158" s="1">
        <v>47081</v>
      </c>
      <c r="G158" s="1">
        <v>66</v>
      </c>
      <c r="H158" s="1">
        <v>521</v>
      </c>
      <c r="I158" s="1">
        <v>2.5499999999999998</v>
      </c>
      <c r="J158" s="1">
        <v>167170</v>
      </c>
      <c r="K158" s="1">
        <v>76429</v>
      </c>
      <c r="L158" s="1">
        <v>16.899999999999999</v>
      </c>
      <c r="M158" s="1" t="s">
        <v>21</v>
      </c>
      <c r="N158" s="1">
        <v>39.9</v>
      </c>
      <c r="O158" s="1">
        <v>45.7</v>
      </c>
      <c r="P158" s="1">
        <v>2026</v>
      </c>
    </row>
    <row r="159" spans="1:16" x14ac:dyDescent="0.2">
      <c r="A159" s="1" t="s">
        <v>203</v>
      </c>
      <c r="B159" s="1" t="s">
        <v>56</v>
      </c>
      <c r="C159" s="1" t="s">
        <v>41</v>
      </c>
      <c r="D159" s="1" t="s">
        <v>19</v>
      </c>
      <c r="E159" s="1" t="s">
        <v>20</v>
      </c>
      <c r="F159" s="1">
        <v>184166</v>
      </c>
      <c r="G159" s="1">
        <v>84</v>
      </c>
      <c r="H159" s="1">
        <v>645</v>
      </c>
      <c r="I159" s="1">
        <v>1.78</v>
      </c>
      <c r="J159" s="1">
        <v>57265</v>
      </c>
      <c r="K159" s="1">
        <v>63878</v>
      </c>
      <c r="L159" s="1">
        <v>17.5</v>
      </c>
      <c r="M159" s="1" t="s">
        <v>35</v>
      </c>
      <c r="N159" s="1">
        <v>16.100000000000001</v>
      </c>
      <c r="O159" s="1">
        <v>202.7</v>
      </c>
      <c r="P159" s="1">
        <v>2026</v>
      </c>
    </row>
    <row r="160" spans="1:16" x14ac:dyDescent="0.2">
      <c r="A160" s="1" t="s">
        <v>204</v>
      </c>
      <c r="B160" s="1" t="s">
        <v>28</v>
      </c>
      <c r="C160" s="1" t="s">
        <v>29</v>
      </c>
      <c r="D160" s="1" t="s">
        <v>32</v>
      </c>
      <c r="E160" s="1" t="s">
        <v>34</v>
      </c>
      <c r="F160" s="1">
        <v>814063</v>
      </c>
      <c r="G160" s="1">
        <v>111</v>
      </c>
      <c r="H160" s="1">
        <v>521</v>
      </c>
      <c r="I160" s="1">
        <v>1.38</v>
      </c>
      <c r="J160" s="1">
        <v>94169</v>
      </c>
      <c r="K160" s="1">
        <v>69566</v>
      </c>
      <c r="L160" s="1">
        <v>16.5</v>
      </c>
      <c r="M160" s="1" t="s">
        <v>35</v>
      </c>
      <c r="N160" s="1">
        <v>12.5</v>
      </c>
      <c r="O160" s="1">
        <v>97.6</v>
      </c>
      <c r="P160" s="1">
        <v>2026</v>
      </c>
    </row>
    <row r="161" spans="1:16" x14ac:dyDescent="0.2">
      <c r="A161" s="1" t="s">
        <v>205</v>
      </c>
      <c r="B161" s="1" t="s">
        <v>67</v>
      </c>
      <c r="C161" s="1" t="s">
        <v>18</v>
      </c>
      <c r="D161" s="1" t="s">
        <v>46</v>
      </c>
      <c r="E161" s="1" t="s">
        <v>26</v>
      </c>
      <c r="F161" s="1">
        <v>651107</v>
      </c>
      <c r="G161" s="1">
        <v>65</v>
      </c>
      <c r="H161" s="1">
        <v>361</v>
      </c>
      <c r="I161" s="1">
        <v>0.57999999999999996</v>
      </c>
      <c r="J161" s="1">
        <v>86094</v>
      </c>
      <c r="K161" s="1">
        <v>37853</v>
      </c>
      <c r="L161" s="1">
        <v>19.2</v>
      </c>
      <c r="M161" s="1" t="s">
        <v>21</v>
      </c>
      <c r="N161" s="1">
        <v>38.700000000000003</v>
      </c>
      <c r="O161" s="1">
        <v>227.8</v>
      </c>
      <c r="P161" s="1">
        <v>2026</v>
      </c>
    </row>
    <row r="162" spans="1:16" x14ac:dyDescent="0.2">
      <c r="A162" s="1" t="s">
        <v>206</v>
      </c>
      <c r="B162" s="1" t="s">
        <v>17</v>
      </c>
      <c r="C162" s="1" t="s">
        <v>18</v>
      </c>
      <c r="D162" s="1" t="s">
        <v>59</v>
      </c>
      <c r="E162" s="1" t="s">
        <v>20</v>
      </c>
      <c r="F162" s="1">
        <v>870843</v>
      </c>
      <c r="G162" s="1">
        <v>46</v>
      </c>
      <c r="H162" s="1">
        <v>479</v>
      </c>
      <c r="I162" s="1">
        <v>0.91</v>
      </c>
      <c r="J162" s="1">
        <v>119404</v>
      </c>
      <c r="K162" s="1">
        <v>44007</v>
      </c>
      <c r="L162" s="1">
        <v>18.3</v>
      </c>
      <c r="M162" s="1" t="s">
        <v>35</v>
      </c>
      <c r="N162" s="1">
        <v>51.7</v>
      </c>
      <c r="O162" s="1">
        <v>120.8</v>
      </c>
      <c r="P162" s="1">
        <v>2026</v>
      </c>
    </row>
    <row r="163" spans="1:16" x14ac:dyDescent="0.2">
      <c r="A163" s="1" t="s">
        <v>207</v>
      </c>
      <c r="B163" s="1" t="s">
        <v>43</v>
      </c>
      <c r="C163" s="1" t="s">
        <v>18</v>
      </c>
      <c r="D163" s="1" t="s">
        <v>46</v>
      </c>
      <c r="E163" s="1" t="s">
        <v>38</v>
      </c>
      <c r="F163" s="1">
        <v>18296</v>
      </c>
      <c r="G163" s="1">
        <v>71</v>
      </c>
      <c r="H163" s="1">
        <v>487</v>
      </c>
      <c r="I163" s="1">
        <v>2.65</v>
      </c>
      <c r="J163" s="1">
        <v>121536</v>
      </c>
      <c r="K163" s="1">
        <v>48619</v>
      </c>
      <c r="L163" s="1">
        <v>14.2</v>
      </c>
      <c r="M163" s="1" t="s">
        <v>21</v>
      </c>
      <c r="N163" s="1">
        <v>7.6</v>
      </c>
      <c r="O163" s="1">
        <v>153.19999999999999</v>
      </c>
      <c r="P163" s="1">
        <v>2026</v>
      </c>
    </row>
    <row r="164" spans="1:16" ht="27.75" x14ac:dyDescent="0.2">
      <c r="A164" s="1" t="s">
        <v>208</v>
      </c>
      <c r="B164" s="1" t="s">
        <v>62</v>
      </c>
      <c r="C164" s="1" t="s">
        <v>41</v>
      </c>
      <c r="D164" s="1" t="s">
        <v>19</v>
      </c>
      <c r="E164" s="1" t="s">
        <v>38</v>
      </c>
      <c r="F164" s="1">
        <v>129310</v>
      </c>
      <c r="G164" s="1">
        <v>60</v>
      </c>
      <c r="H164" s="1">
        <v>395</v>
      </c>
      <c r="I164" s="1">
        <v>2.2000000000000002</v>
      </c>
      <c r="J164" s="1">
        <v>84986</v>
      </c>
      <c r="K164" s="1">
        <v>73696</v>
      </c>
      <c r="L164" s="1">
        <v>18.2</v>
      </c>
      <c r="M164" s="1" t="s">
        <v>21</v>
      </c>
      <c r="N164" s="1">
        <v>55.1</v>
      </c>
      <c r="O164" s="1">
        <v>122.1</v>
      </c>
      <c r="P164" s="1">
        <v>2026</v>
      </c>
    </row>
    <row r="165" spans="1:16" x14ac:dyDescent="0.2">
      <c r="A165" s="1" t="s">
        <v>209</v>
      </c>
      <c r="B165" s="1" t="s">
        <v>53</v>
      </c>
      <c r="C165" s="1" t="s">
        <v>41</v>
      </c>
      <c r="D165" s="1" t="s">
        <v>46</v>
      </c>
      <c r="E165" s="1" t="s">
        <v>34</v>
      </c>
      <c r="F165" s="1">
        <v>329843</v>
      </c>
      <c r="G165" s="1">
        <v>84</v>
      </c>
      <c r="H165" s="1">
        <v>480</v>
      </c>
      <c r="I165" s="1">
        <v>0.61</v>
      </c>
      <c r="J165" s="1">
        <v>198417</v>
      </c>
      <c r="K165" s="1">
        <v>39321</v>
      </c>
      <c r="L165" s="1">
        <v>12.9</v>
      </c>
      <c r="M165" s="1" t="s">
        <v>35</v>
      </c>
      <c r="N165" s="1">
        <v>46.4</v>
      </c>
      <c r="O165" s="1">
        <v>143.6</v>
      </c>
      <c r="P165" s="1">
        <v>2026</v>
      </c>
    </row>
    <row r="166" spans="1:16" ht="27.75" x14ac:dyDescent="0.2">
      <c r="A166" s="1" t="s">
        <v>210</v>
      </c>
      <c r="B166" s="1" t="s">
        <v>23</v>
      </c>
      <c r="C166" s="1" t="s">
        <v>24</v>
      </c>
      <c r="D166" s="1" t="s">
        <v>59</v>
      </c>
      <c r="E166" s="1" t="s">
        <v>38</v>
      </c>
      <c r="F166" s="1">
        <v>469644</v>
      </c>
      <c r="G166" s="1">
        <v>86</v>
      </c>
      <c r="H166" s="1">
        <v>368</v>
      </c>
      <c r="I166" s="1">
        <v>2.87</v>
      </c>
      <c r="J166" s="1">
        <v>181249</v>
      </c>
      <c r="K166" s="1">
        <v>59485</v>
      </c>
      <c r="L166" s="1">
        <v>18.399999999999999</v>
      </c>
      <c r="M166" s="1" t="s">
        <v>21</v>
      </c>
      <c r="N166" s="1">
        <v>14.3</v>
      </c>
      <c r="O166" s="1">
        <v>59.9</v>
      </c>
      <c r="P166" s="1">
        <v>2026</v>
      </c>
    </row>
    <row r="167" spans="1:16" x14ac:dyDescent="0.2">
      <c r="A167" s="1" t="s">
        <v>211</v>
      </c>
      <c r="B167" s="1" t="s">
        <v>17</v>
      </c>
      <c r="C167" s="1" t="s">
        <v>18</v>
      </c>
      <c r="D167" s="1" t="s">
        <v>32</v>
      </c>
      <c r="E167" s="1" t="s">
        <v>38</v>
      </c>
      <c r="F167" s="1">
        <v>132985</v>
      </c>
      <c r="G167" s="1">
        <v>86</v>
      </c>
      <c r="H167" s="1">
        <v>577</v>
      </c>
      <c r="I167" s="1">
        <v>1.05</v>
      </c>
      <c r="J167" s="1">
        <v>114487</v>
      </c>
      <c r="K167" s="1">
        <v>84403</v>
      </c>
      <c r="L167" s="1">
        <v>24.5</v>
      </c>
      <c r="M167" s="1" t="s">
        <v>21</v>
      </c>
      <c r="N167" s="1">
        <v>51.6</v>
      </c>
      <c r="O167" s="1">
        <v>116</v>
      </c>
      <c r="P167" s="1">
        <v>2026</v>
      </c>
    </row>
    <row r="168" spans="1:16" ht="27.75" x14ac:dyDescent="0.2">
      <c r="A168" s="1" t="s">
        <v>212</v>
      </c>
      <c r="B168" s="1" t="s">
        <v>50</v>
      </c>
      <c r="C168" s="1" t="s">
        <v>24</v>
      </c>
      <c r="D168" s="1" t="s">
        <v>48</v>
      </c>
      <c r="E168" s="1" t="s">
        <v>20</v>
      </c>
      <c r="F168" s="1">
        <v>367510</v>
      </c>
      <c r="G168" s="1">
        <v>82</v>
      </c>
      <c r="H168" s="1">
        <v>386</v>
      </c>
      <c r="I168" s="1">
        <v>2.85</v>
      </c>
      <c r="J168" s="1">
        <v>99625</v>
      </c>
      <c r="K168" s="1">
        <v>27037</v>
      </c>
      <c r="L168" s="1">
        <v>13</v>
      </c>
      <c r="M168" s="1" t="s">
        <v>21</v>
      </c>
      <c r="N168" s="1">
        <v>6.5</v>
      </c>
      <c r="O168" s="1">
        <v>49.1</v>
      </c>
      <c r="P168" s="1">
        <v>2026</v>
      </c>
    </row>
    <row r="169" spans="1:16" x14ac:dyDescent="0.2">
      <c r="A169" s="1" t="s">
        <v>213</v>
      </c>
      <c r="B169" s="1" t="s">
        <v>53</v>
      </c>
      <c r="C169" s="1" t="s">
        <v>41</v>
      </c>
      <c r="D169" s="1" t="s">
        <v>44</v>
      </c>
      <c r="E169" s="1" t="s">
        <v>20</v>
      </c>
      <c r="F169" s="1">
        <v>134546</v>
      </c>
      <c r="G169" s="1">
        <v>95</v>
      </c>
      <c r="H169" s="1">
        <v>465</v>
      </c>
      <c r="I169" s="1">
        <v>2.1</v>
      </c>
      <c r="J169" s="1">
        <v>165820</v>
      </c>
      <c r="K169" s="1">
        <v>26649</v>
      </c>
      <c r="L169" s="1">
        <v>19.3</v>
      </c>
      <c r="M169" s="1" t="s">
        <v>21</v>
      </c>
      <c r="N169" s="1">
        <v>38.1</v>
      </c>
      <c r="O169" s="1">
        <v>200.9</v>
      </c>
      <c r="P169" s="1">
        <v>2026</v>
      </c>
    </row>
    <row r="170" spans="1:16" ht="27.75" x14ac:dyDescent="0.2">
      <c r="A170" s="1" t="s">
        <v>214</v>
      </c>
      <c r="B170" s="1" t="s">
        <v>23</v>
      </c>
      <c r="C170" s="1" t="s">
        <v>24</v>
      </c>
      <c r="D170" s="1" t="s">
        <v>73</v>
      </c>
      <c r="E170" s="1" t="s">
        <v>34</v>
      </c>
      <c r="F170" s="1">
        <v>668262</v>
      </c>
      <c r="G170" s="1">
        <v>72</v>
      </c>
      <c r="H170" s="1">
        <v>367</v>
      </c>
      <c r="I170" s="1">
        <v>1.19</v>
      </c>
      <c r="J170" s="1">
        <v>1875</v>
      </c>
      <c r="K170" s="1">
        <v>32259</v>
      </c>
      <c r="L170" s="1">
        <v>17.2</v>
      </c>
      <c r="M170" s="1" t="s">
        <v>35</v>
      </c>
      <c r="N170" s="1">
        <v>62.5</v>
      </c>
      <c r="O170" s="1">
        <v>291.89999999999998</v>
      </c>
      <c r="P170" s="1">
        <v>2026</v>
      </c>
    </row>
    <row r="171" spans="1:16" x14ac:dyDescent="0.2">
      <c r="A171" s="1" t="s">
        <v>215</v>
      </c>
      <c r="B171" s="1" t="s">
        <v>53</v>
      </c>
      <c r="C171" s="1" t="s">
        <v>41</v>
      </c>
      <c r="D171" s="1" t="s">
        <v>59</v>
      </c>
      <c r="E171" s="1" t="s">
        <v>26</v>
      </c>
      <c r="F171" s="1">
        <v>706868</v>
      </c>
      <c r="G171" s="1">
        <v>44</v>
      </c>
      <c r="H171" s="1">
        <v>586</v>
      </c>
      <c r="I171" s="1">
        <v>0.51</v>
      </c>
      <c r="J171" s="1">
        <v>40152</v>
      </c>
      <c r="K171" s="1">
        <v>31620</v>
      </c>
      <c r="L171" s="1">
        <v>16.7</v>
      </c>
      <c r="M171" s="1" t="s">
        <v>21</v>
      </c>
      <c r="N171" s="1">
        <v>53.5</v>
      </c>
      <c r="O171" s="1">
        <v>50.8</v>
      </c>
      <c r="P171" s="1">
        <v>2026</v>
      </c>
    </row>
    <row r="172" spans="1:16" ht="27.75" x14ac:dyDescent="0.2">
      <c r="A172" s="1" t="s">
        <v>216</v>
      </c>
      <c r="B172" s="1" t="s">
        <v>62</v>
      </c>
      <c r="C172" s="1" t="s">
        <v>41</v>
      </c>
      <c r="D172" s="1" t="s">
        <v>48</v>
      </c>
      <c r="E172" s="1" t="s">
        <v>34</v>
      </c>
      <c r="F172" s="1">
        <v>277890</v>
      </c>
      <c r="G172" s="1">
        <v>102</v>
      </c>
      <c r="H172" s="1">
        <v>535</v>
      </c>
      <c r="I172" s="1">
        <v>2.5499999999999998</v>
      </c>
      <c r="J172" s="1">
        <v>166452</v>
      </c>
      <c r="K172" s="1">
        <v>60618</v>
      </c>
      <c r="L172" s="1">
        <v>15</v>
      </c>
      <c r="M172" s="1" t="s">
        <v>21</v>
      </c>
      <c r="N172" s="1">
        <v>15.8</v>
      </c>
      <c r="O172" s="1">
        <v>33.1</v>
      </c>
      <c r="P172" s="1">
        <v>2026</v>
      </c>
    </row>
    <row r="173" spans="1:16" x14ac:dyDescent="0.2">
      <c r="A173" s="1" t="s">
        <v>217</v>
      </c>
      <c r="B173" s="1" t="s">
        <v>56</v>
      </c>
      <c r="C173" s="1" t="s">
        <v>41</v>
      </c>
      <c r="D173" s="1" t="s">
        <v>44</v>
      </c>
      <c r="E173" s="1" t="s">
        <v>26</v>
      </c>
      <c r="F173" s="1">
        <v>677995</v>
      </c>
      <c r="G173" s="1">
        <v>50</v>
      </c>
      <c r="H173" s="1">
        <v>521</v>
      </c>
      <c r="I173" s="1">
        <v>1.84</v>
      </c>
      <c r="J173" s="1">
        <v>172402</v>
      </c>
      <c r="K173" s="1">
        <v>79435</v>
      </c>
      <c r="L173" s="1">
        <v>18.600000000000001</v>
      </c>
      <c r="M173" s="1" t="s">
        <v>35</v>
      </c>
      <c r="N173" s="1">
        <v>32.9</v>
      </c>
      <c r="O173" s="1">
        <v>266.8</v>
      </c>
      <c r="P173" s="1">
        <v>2026</v>
      </c>
    </row>
    <row r="174" spans="1:16" ht="27.75" x14ac:dyDescent="0.2">
      <c r="A174" s="1" t="s">
        <v>218</v>
      </c>
      <c r="B174" s="1" t="s">
        <v>50</v>
      </c>
      <c r="C174" s="1" t="s">
        <v>24</v>
      </c>
      <c r="D174" s="1" t="s">
        <v>32</v>
      </c>
      <c r="E174" s="1" t="s">
        <v>34</v>
      </c>
      <c r="F174" s="1">
        <v>22460</v>
      </c>
      <c r="G174" s="1">
        <v>108</v>
      </c>
      <c r="H174" s="1">
        <v>593</v>
      </c>
      <c r="I174" s="1">
        <v>1.91</v>
      </c>
      <c r="J174" s="1">
        <v>74481</v>
      </c>
      <c r="K174" s="1">
        <v>28573</v>
      </c>
      <c r="L174" s="1">
        <v>23.1</v>
      </c>
      <c r="M174" s="1" t="s">
        <v>21</v>
      </c>
      <c r="N174" s="1">
        <v>33.5</v>
      </c>
      <c r="O174" s="1">
        <v>94.4</v>
      </c>
      <c r="P174" s="1">
        <v>2026</v>
      </c>
    </row>
    <row r="175" spans="1:16" ht="27.75" x14ac:dyDescent="0.2">
      <c r="A175" s="1" t="s">
        <v>219</v>
      </c>
      <c r="B175" s="1" t="s">
        <v>23</v>
      </c>
      <c r="C175" s="1" t="s">
        <v>24</v>
      </c>
      <c r="D175" s="1" t="s">
        <v>19</v>
      </c>
      <c r="E175" s="1" t="s">
        <v>26</v>
      </c>
      <c r="F175" s="1">
        <v>178873</v>
      </c>
      <c r="G175" s="1">
        <v>49</v>
      </c>
      <c r="H175" s="1">
        <v>486</v>
      </c>
      <c r="I175" s="1">
        <v>1.41</v>
      </c>
      <c r="J175" s="1">
        <v>113907</v>
      </c>
      <c r="K175" s="1">
        <v>44656</v>
      </c>
      <c r="L175" s="1">
        <v>14.8</v>
      </c>
      <c r="M175" s="1" t="s">
        <v>35</v>
      </c>
      <c r="N175" s="1">
        <v>31.8</v>
      </c>
      <c r="O175" s="1">
        <v>31.4</v>
      </c>
      <c r="P175" s="1">
        <v>2026</v>
      </c>
    </row>
    <row r="176" spans="1:16" x14ac:dyDescent="0.2">
      <c r="A176" s="1" t="s">
        <v>220</v>
      </c>
      <c r="B176" s="1" t="s">
        <v>28</v>
      </c>
      <c r="C176" s="1" t="s">
        <v>29</v>
      </c>
      <c r="D176" s="1" t="s">
        <v>46</v>
      </c>
      <c r="E176" s="1" t="s">
        <v>20</v>
      </c>
      <c r="F176" s="1">
        <v>265740</v>
      </c>
      <c r="G176" s="1">
        <v>116</v>
      </c>
      <c r="H176" s="1">
        <v>348</v>
      </c>
      <c r="I176" s="1">
        <v>0.89</v>
      </c>
      <c r="J176" s="1">
        <v>79396</v>
      </c>
      <c r="K176" s="1">
        <v>84907</v>
      </c>
      <c r="L176" s="1">
        <v>14.2</v>
      </c>
      <c r="M176" s="1" t="s">
        <v>35</v>
      </c>
      <c r="N176" s="1">
        <v>10.6</v>
      </c>
      <c r="O176" s="1">
        <v>63.1</v>
      </c>
      <c r="P176" s="1">
        <v>2026</v>
      </c>
    </row>
    <row r="177" spans="1:16" x14ac:dyDescent="0.2">
      <c r="A177" s="1" t="s">
        <v>221</v>
      </c>
      <c r="B177" s="1" t="s">
        <v>53</v>
      </c>
      <c r="C177" s="1" t="s">
        <v>41</v>
      </c>
      <c r="D177" s="1" t="s">
        <v>44</v>
      </c>
      <c r="E177" s="1" t="s">
        <v>20</v>
      </c>
      <c r="F177" s="1">
        <v>828627</v>
      </c>
      <c r="G177" s="1">
        <v>70</v>
      </c>
      <c r="H177" s="1">
        <v>250</v>
      </c>
      <c r="I177" s="1">
        <v>1.47</v>
      </c>
      <c r="J177" s="1">
        <v>45177</v>
      </c>
      <c r="K177" s="1">
        <v>49731</v>
      </c>
      <c r="L177" s="1">
        <v>18.2</v>
      </c>
      <c r="M177" s="1" t="s">
        <v>21</v>
      </c>
      <c r="N177" s="1">
        <v>7.4</v>
      </c>
      <c r="O177" s="1">
        <v>258.89999999999998</v>
      </c>
      <c r="P177" s="1">
        <v>2026</v>
      </c>
    </row>
    <row r="178" spans="1:16" x14ac:dyDescent="0.2">
      <c r="A178" s="1" t="s">
        <v>222</v>
      </c>
      <c r="B178" s="1" t="s">
        <v>17</v>
      </c>
      <c r="C178" s="1" t="s">
        <v>18</v>
      </c>
      <c r="D178" s="1" t="s">
        <v>46</v>
      </c>
      <c r="E178" s="1" t="s">
        <v>20</v>
      </c>
      <c r="F178" s="1">
        <v>891501</v>
      </c>
      <c r="G178" s="1">
        <v>44</v>
      </c>
      <c r="H178" s="1">
        <v>431</v>
      </c>
      <c r="I178" s="1">
        <v>1.04</v>
      </c>
      <c r="J178" s="1">
        <v>155878</v>
      </c>
      <c r="K178" s="1">
        <v>82329</v>
      </c>
      <c r="L178" s="1">
        <v>19.899999999999999</v>
      </c>
      <c r="M178" s="1" t="s">
        <v>21</v>
      </c>
      <c r="N178" s="1">
        <v>40.299999999999997</v>
      </c>
      <c r="O178" s="1">
        <v>53.8</v>
      </c>
      <c r="P178" s="1">
        <v>2026</v>
      </c>
    </row>
    <row r="179" spans="1:16" ht="27.75" x14ac:dyDescent="0.2">
      <c r="A179" s="1" t="s">
        <v>223</v>
      </c>
      <c r="B179" s="1" t="s">
        <v>23</v>
      </c>
      <c r="C179" s="1" t="s">
        <v>24</v>
      </c>
      <c r="D179" s="1" t="s">
        <v>48</v>
      </c>
      <c r="E179" s="1" t="s">
        <v>38</v>
      </c>
      <c r="F179" s="1">
        <v>449004</v>
      </c>
      <c r="G179" s="1">
        <v>74</v>
      </c>
      <c r="H179" s="1">
        <v>297</v>
      </c>
      <c r="I179" s="1">
        <v>2.15</v>
      </c>
      <c r="J179" s="1">
        <v>44872</v>
      </c>
      <c r="K179" s="1">
        <v>38500</v>
      </c>
      <c r="L179" s="1">
        <v>18.8</v>
      </c>
      <c r="M179" s="1" t="s">
        <v>35</v>
      </c>
      <c r="N179" s="1">
        <v>30.3</v>
      </c>
      <c r="O179" s="1">
        <v>74</v>
      </c>
      <c r="P179" s="1">
        <v>2026</v>
      </c>
    </row>
    <row r="180" spans="1:16" x14ac:dyDescent="0.2">
      <c r="A180" s="1" t="s">
        <v>224</v>
      </c>
      <c r="B180" s="1" t="s">
        <v>43</v>
      </c>
      <c r="C180" s="1" t="s">
        <v>18</v>
      </c>
      <c r="D180" s="1" t="s">
        <v>59</v>
      </c>
      <c r="E180" s="1" t="s">
        <v>20</v>
      </c>
      <c r="F180" s="1">
        <v>796800</v>
      </c>
      <c r="G180" s="1">
        <v>75</v>
      </c>
      <c r="H180" s="1">
        <v>410</v>
      </c>
      <c r="I180" s="1">
        <v>0.99</v>
      </c>
      <c r="J180" s="1">
        <v>126476</v>
      </c>
      <c r="K180" s="1">
        <v>39965</v>
      </c>
      <c r="L180" s="1">
        <v>12.7</v>
      </c>
      <c r="M180" s="1" t="s">
        <v>35</v>
      </c>
      <c r="N180" s="1">
        <v>38.5</v>
      </c>
      <c r="O180" s="1">
        <v>145.80000000000001</v>
      </c>
      <c r="P180" s="1">
        <v>2026</v>
      </c>
    </row>
    <row r="181" spans="1:16" x14ac:dyDescent="0.2">
      <c r="A181" s="1" t="s">
        <v>225</v>
      </c>
      <c r="B181" s="1" t="s">
        <v>43</v>
      </c>
      <c r="C181" s="1" t="s">
        <v>18</v>
      </c>
      <c r="D181" s="1" t="s">
        <v>19</v>
      </c>
      <c r="E181" s="1" t="s">
        <v>38</v>
      </c>
      <c r="F181" s="1">
        <v>514787</v>
      </c>
      <c r="G181" s="1">
        <v>100</v>
      </c>
      <c r="H181" s="1">
        <v>490</v>
      </c>
      <c r="I181" s="1">
        <v>1.26</v>
      </c>
      <c r="J181" s="1">
        <v>187276</v>
      </c>
      <c r="K181" s="1">
        <v>55136</v>
      </c>
      <c r="L181" s="1">
        <v>13.4</v>
      </c>
      <c r="M181" s="1" t="s">
        <v>35</v>
      </c>
      <c r="N181" s="1">
        <v>42.7</v>
      </c>
      <c r="O181" s="1">
        <v>294.3</v>
      </c>
      <c r="P181" s="1">
        <v>2026</v>
      </c>
    </row>
    <row r="182" spans="1:16" x14ac:dyDescent="0.2">
      <c r="A182" s="1" t="s">
        <v>226</v>
      </c>
      <c r="B182" s="1" t="s">
        <v>43</v>
      </c>
      <c r="C182" s="1" t="s">
        <v>18</v>
      </c>
      <c r="D182" s="1" t="s">
        <v>37</v>
      </c>
      <c r="E182" s="1" t="s">
        <v>38</v>
      </c>
      <c r="F182" s="1">
        <v>639442</v>
      </c>
      <c r="G182" s="1">
        <v>76</v>
      </c>
      <c r="H182" s="1">
        <v>350</v>
      </c>
      <c r="I182" s="1">
        <v>2.77</v>
      </c>
      <c r="J182" s="1">
        <v>194916</v>
      </c>
      <c r="K182" s="1">
        <v>51481</v>
      </c>
      <c r="L182" s="1">
        <v>21.5</v>
      </c>
      <c r="M182" s="1" t="s">
        <v>35</v>
      </c>
      <c r="N182" s="1">
        <v>15.6</v>
      </c>
      <c r="O182" s="1">
        <v>98.3</v>
      </c>
      <c r="P182" s="1">
        <v>2026</v>
      </c>
    </row>
    <row r="183" spans="1:16" x14ac:dyDescent="0.2">
      <c r="A183" s="1" t="s">
        <v>227</v>
      </c>
      <c r="B183" s="1" t="s">
        <v>40</v>
      </c>
      <c r="C183" s="1" t="s">
        <v>41</v>
      </c>
      <c r="D183" s="1" t="s">
        <v>59</v>
      </c>
      <c r="E183" s="1" t="s">
        <v>20</v>
      </c>
      <c r="F183" s="1">
        <v>312374</v>
      </c>
      <c r="G183" s="1">
        <v>61</v>
      </c>
      <c r="H183" s="1">
        <v>592</v>
      </c>
      <c r="I183" s="1">
        <v>1.02</v>
      </c>
      <c r="J183" s="1">
        <v>96851</v>
      </c>
      <c r="K183" s="1">
        <v>70994</v>
      </c>
      <c r="L183" s="1">
        <v>12.9</v>
      </c>
      <c r="M183" s="1" t="s">
        <v>21</v>
      </c>
      <c r="N183" s="1">
        <v>31.4</v>
      </c>
      <c r="O183" s="1">
        <v>173.6</v>
      </c>
      <c r="P183" s="1">
        <v>2026</v>
      </c>
    </row>
    <row r="184" spans="1:16" ht="27.75" x14ac:dyDescent="0.2">
      <c r="A184" s="1" t="s">
        <v>228</v>
      </c>
      <c r="B184" s="1" t="s">
        <v>50</v>
      </c>
      <c r="C184" s="1" t="s">
        <v>24</v>
      </c>
      <c r="D184" s="1" t="s">
        <v>59</v>
      </c>
      <c r="E184" s="1" t="s">
        <v>26</v>
      </c>
      <c r="F184" s="1">
        <v>101821</v>
      </c>
      <c r="G184" s="1">
        <v>116</v>
      </c>
      <c r="H184" s="1">
        <v>425</v>
      </c>
      <c r="I184" s="1">
        <v>1.4</v>
      </c>
      <c r="J184" s="1">
        <v>6993</v>
      </c>
      <c r="K184" s="1">
        <v>54591</v>
      </c>
      <c r="L184" s="1">
        <v>19.3</v>
      </c>
      <c r="M184" s="1" t="s">
        <v>21</v>
      </c>
      <c r="N184" s="1">
        <v>18.399999999999999</v>
      </c>
      <c r="O184" s="1">
        <v>280.60000000000002</v>
      </c>
      <c r="P184" s="1">
        <v>2026</v>
      </c>
    </row>
    <row r="185" spans="1:16" x14ac:dyDescent="0.2">
      <c r="A185" s="1" t="s">
        <v>229</v>
      </c>
      <c r="B185" s="1" t="s">
        <v>17</v>
      </c>
      <c r="C185" s="1" t="s">
        <v>18</v>
      </c>
      <c r="D185" s="1" t="s">
        <v>46</v>
      </c>
      <c r="E185" s="1" t="s">
        <v>38</v>
      </c>
      <c r="F185" s="1">
        <v>641246</v>
      </c>
      <c r="G185" s="1">
        <v>68</v>
      </c>
      <c r="H185" s="1">
        <v>627</v>
      </c>
      <c r="I185" s="1">
        <v>0.9</v>
      </c>
      <c r="J185" s="1">
        <v>78713</v>
      </c>
      <c r="K185" s="1">
        <v>54890</v>
      </c>
      <c r="L185" s="1">
        <v>21.1</v>
      </c>
      <c r="M185" s="1" t="s">
        <v>35</v>
      </c>
      <c r="N185" s="1">
        <v>57.6</v>
      </c>
      <c r="O185" s="1">
        <v>260.5</v>
      </c>
      <c r="P185" s="1">
        <v>2026</v>
      </c>
    </row>
    <row r="186" spans="1:16" ht="27.75" x14ac:dyDescent="0.2">
      <c r="A186" s="1" t="s">
        <v>230</v>
      </c>
      <c r="B186" s="1" t="s">
        <v>50</v>
      </c>
      <c r="C186" s="1" t="s">
        <v>24</v>
      </c>
      <c r="D186" s="1" t="s">
        <v>25</v>
      </c>
      <c r="E186" s="1" t="s">
        <v>38</v>
      </c>
      <c r="F186" s="1">
        <v>750978</v>
      </c>
      <c r="G186" s="1">
        <v>54</v>
      </c>
      <c r="H186" s="1">
        <v>428</v>
      </c>
      <c r="I186" s="1">
        <v>2.17</v>
      </c>
      <c r="J186" s="1">
        <v>45860</v>
      </c>
      <c r="K186" s="1">
        <v>82831</v>
      </c>
      <c r="L186" s="1">
        <v>21.8</v>
      </c>
      <c r="M186" s="1" t="s">
        <v>21</v>
      </c>
      <c r="N186" s="1">
        <v>37</v>
      </c>
      <c r="O186" s="1">
        <v>280.39999999999998</v>
      </c>
      <c r="P186" s="1">
        <v>2026</v>
      </c>
    </row>
    <row r="187" spans="1:16" ht="27.75" x14ac:dyDescent="0.2">
      <c r="A187" s="1" t="s">
        <v>231</v>
      </c>
      <c r="B187" s="1" t="s">
        <v>50</v>
      </c>
      <c r="C187" s="1" t="s">
        <v>24</v>
      </c>
      <c r="D187" s="1" t="s">
        <v>32</v>
      </c>
      <c r="E187" s="1" t="s">
        <v>20</v>
      </c>
      <c r="F187" s="1">
        <v>570924</v>
      </c>
      <c r="G187" s="1">
        <v>106</v>
      </c>
      <c r="H187" s="1">
        <v>398</v>
      </c>
      <c r="I187" s="1">
        <v>2.5299999999999998</v>
      </c>
      <c r="J187" s="1">
        <v>82632</v>
      </c>
      <c r="K187" s="1">
        <v>82307</v>
      </c>
      <c r="L187" s="1">
        <v>13.6</v>
      </c>
      <c r="M187" s="1" t="s">
        <v>35</v>
      </c>
      <c r="N187" s="1">
        <v>33.9</v>
      </c>
      <c r="O187" s="1">
        <v>76.900000000000006</v>
      </c>
      <c r="P187" s="1">
        <v>2026</v>
      </c>
    </row>
    <row r="188" spans="1:16" x14ac:dyDescent="0.2">
      <c r="A188" s="1" t="s">
        <v>232</v>
      </c>
      <c r="B188" s="1" t="s">
        <v>67</v>
      </c>
      <c r="C188" s="1" t="s">
        <v>18</v>
      </c>
      <c r="D188" s="1" t="s">
        <v>44</v>
      </c>
      <c r="E188" s="1" t="s">
        <v>38</v>
      </c>
      <c r="F188" s="1">
        <v>473737</v>
      </c>
      <c r="G188" s="1">
        <v>86</v>
      </c>
      <c r="H188" s="1">
        <v>432</v>
      </c>
      <c r="I188" s="1">
        <v>2.2200000000000002</v>
      </c>
      <c r="J188" s="1">
        <v>51277</v>
      </c>
      <c r="K188" s="1">
        <v>64840</v>
      </c>
      <c r="L188" s="1">
        <v>13.1</v>
      </c>
      <c r="M188" s="1" t="s">
        <v>35</v>
      </c>
      <c r="N188" s="1">
        <v>13.1</v>
      </c>
      <c r="O188" s="1">
        <v>80.2</v>
      </c>
      <c r="P188" s="1">
        <v>2026</v>
      </c>
    </row>
    <row r="189" spans="1:16" ht="27.75" x14ac:dyDescent="0.2">
      <c r="A189" s="1" t="s">
        <v>233</v>
      </c>
      <c r="B189" s="1" t="s">
        <v>50</v>
      </c>
      <c r="C189" s="1" t="s">
        <v>24</v>
      </c>
      <c r="D189" s="1" t="s">
        <v>30</v>
      </c>
      <c r="E189" s="1" t="s">
        <v>38</v>
      </c>
      <c r="F189" s="1">
        <v>496303</v>
      </c>
      <c r="G189" s="1">
        <v>103</v>
      </c>
      <c r="H189" s="1">
        <v>455</v>
      </c>
      <c r="I189" s="1">
        <v>1.01</v>
      </c>
      <c r="J189" s="1">
        <v>65111</v>
      </c>
      <c r="K189" s="1">
        <v>59897</v>
      </c>
      <c r="L189" s="1">
        <v>23.5</v>
      </c>
      <c r="M189" s="1" t="s">
        <v>21</v>
      </c>
      <c r="N189" s="1">
        <v>57.4</v>
      </c>
      <c r="O189" s="1">
        <v>23.6</v>
      </c>
      <c r="P189" s="1">
        <v>2026</v>
      </c>
    </row>
    <row r="190" spans="1:16" x14ac:dyDescent="0.2">
      <c r="A190" s="1" t="s">
        <v>234</v>
      </c>
      <c r="B190" s="1" t="s">
        <v>67</v>
      </c>
      <c r="C190" s="1" t="s">
        <v>18</v>
      </c>
      <c r="D190" s="1" t="s">
        <v>25</v>
      </c>
      <c r="E190" s="1" t="s">
        <v>26</v>
      </c>
      <c r="F190" s="1">
        <v>509103</v>
      </c>
      <c r="G190" s="1">
        <v>109</v>
      </c>
      <c r="H190" s="1">
        <v>348</v>
      </c>
      <c r="I190" s="1">
        <v>0.83</v>
      </c>
      <c r="J190" s="1">
        <v>125769</v>
      </c>
      <c r="K190" s="1">
        <v>69248</v>
      </c>
      <c r="L190" s="1">
        <v>15.1</v>
      </c>
      <c r="M190" s="1" t="s">
        <v>35</v>
      </c>
      <c r="N190" s="1">
        <v>9.6999999999999993</v>
      </c>
      <c r="O190" s="1">
        <v>259.10000000000002</v>
      </c>
      <c r="P190" s="1">
        <v>2026</v>
      </c>
    </row>
    <row r="191" spans="1:16" ht="27.75" x14ac:dyDescent="0.2">
      <c r="A191" s="1" t="s">
        <v>235</v>
      </c>
      <c r="B191" s="1" t="s">
        <v>50</v>
      </c>
      <c r="C191" s="1" t="s">
        <v>24</v>
      </c>
      <c r="D191" s="1" t="s">
        <v>59</v>
      </c>
      <c r="E191" s="1" t="s">
        <v>26</v>
      </c>
      <c r="F191" s="1">
        <v>871023</v>
      </c>
      <c r="G191" s="1">
        <v>47</v>
      </c>
      <c r="H191" s="1">
        <v>602</v>
      </c>
      <c r="I191" s="1">
        <v>1.59</v>
      </c>
      <c r="J191" s="1">
        <v>187038</v>
      </c>
      <c r="K191" s="1">
        <v>82564</v>
      </c>
      <c r="L191" s="1">
        <v>12.9</v>
      </c>
      <c r="M191" s="1" t="s">
        <v>35</v>
      </c>
      <c r="N191" s="1">
        <v>33</v>
      </c>
      <c r="O191" s="1">
        <v>266.3</v>
      </c>
      <c r="P191" s="1">
        <v>2026</v>
      </c>
    </row>
    <row r="192" spans="1:16" ht="27.75" x14ac:dyDescent="0.2">
      <c r="A192" s="1" t="s">
        <v>236</v>
      </c>
      <c r="B192" s="1" t="s">
        <v>23</v>
      </c>
      <c r="C192" s="1" t="s">
        <v>24</v>
      </c>
      <c r="D192" s="1" t="s">
        <v>44</v>
      </c>
      <c r="E192" s="1" t="s">
        <v>20</v>
      </c>
      <c r="F192" s="1">
        <v>290033</v>
      </c>
      <c r="G192" s="1">
        <v>66</v>
      </c>
      <c r="H192" s="1">
        <v>382</v>
      </c>
      <c r="I192" s="1">
        <v>2.44</v>
      </c>
      <c r="J192" s="1">
        <v>106937</v>
      </c>
      <c r="K192" s="1">
        <v>36638</v>
      </c>
      <c r="L192" s="1">
        <v>24.1</v>
      </c>
      <c r="M192" s="1" t="s">
        <v>21</v>
      </c>
      <c r="N192" s="1">
        <v>60.6</v>
      </c>
      <c r="O192" s="1">
        <v>272.2</v>
      </c>
      <c r="P192" s="1">
        <v>2026</v>
      </c>
    </row>
    <row r="193" spans="1:16" x14ac:dyDescent="0.2">
      <c r="A193" s="1" t="s">
        <v>237</v>
      </c>
      <c r="B193" s="1" t="s">
        <v>17</v>
      </c>
      <c r="C193" s="1" t="s">
        <v>18</v>
      </c>
      <c r="D193" s="1" t="s">
        <v>30</v>
      </c>
      <c r="E193" s="1" t="s">
        <v>20</v>
      </c>
      <c r="F193" s="1">
        <v>55289</v>
      </c>
      <c r="G193" s="1">
        <v>75</v>
      </c>
      <c r="H193" s="1">
        <v>317</v>
      </c>
      <c r="I193" s="1">
        <v>1.9</v>
      </c>
      <c r="J193" s="1">
        <v>105574</v>
      </c>
      <c r="K193" s="1">
        <v>72463</v>
      </c>
      <c r="L193" s="1">
        <v>23.8</v>
      </c>
      <c r="M193" s="1" t="s">
        <v>35</v>
      </c>
      <c r="N193" s="1">
        <v>7</v>
      </c>
      <c r="O193" s="1">
        <v>285.89999999999998</v>
      </c>
      <c r="P193" s="1">
        <v>2026</v>
      </c>
    </row>
    <row r="194" spans="1:16" ht="27.75" x14ac:dyDescent="0.2">
      <c r="A194" s="1" t="s">
        <v>238</v>
      </c>
      <c r="B194" s="1" t="s">
        <v>62</v>
      </c>
      <c r="C194" s="1" t="s">
        <v>41</v>
      </c>
      <c r="D194" s="1" t="s">
        <v>59</v>
      </c>
      <c r="E194" s="1" t="s">
        <v>26</v>
      </c>
      <c r="F194" s="1">
        <v>696630</v>
      </c>
      <c r="G194" s="1">
        <v>79</v>
      </c>
      <c r="H194" s="1">
        <v>506</v>
      </c>
      <c r="I194" s="1">
        <v>2.59</v>
      </c>
      <c r="J194" s="1">
        <v>194260</v>
      </c>
      <c r="K194" s="1">
        <v>52815</v>
      </c>
      <c r="L194" s="1">
        <v>20.9</v>
      </c>
      <c r="M194" s="1" t="s">
        <v>21</v>
      </c>
      <c r="N194" s="1">
        <v>14.5</v>
      </c>
      <c r="O194" s="1">
        <v>11.2</v>
      </c>
      <c r="P194" s="1">
        <v>2026</v>
      </c>
    </row>
    <row r="195" spans="1:16" x14ac:dyDescent="0.2">
      <c r="A195" s="1" t="s">
        <v>239</v>
      </c>
      <c r="B195" s="1" t="s">
        <v>67</v>
      </c>
      <c r="C195" s="1" t="s">
        <v>18</v>
      </c>
      <c r="D195" s="1" t="s">
        <v>59</v>
      </c>
      <c r="E195" s="1" t="s">
        <v>38</v>
      </c>
      <c r="F195" s="1">
        <v>62281</v>
      </c>
      <c r="G195" s="1">
        <v>109</v>
      </c>
      <c r="H195" s="1">
        <v>468</v>
      </c>
      <c r="I195" s="1">
        <v>1.92</v>
      </c>
      <c r="J195" s="1">
        <v>86471</v>
      </c>
      <c r="K195" s="1">
        <v>43824</v>
      </c>
      <c r="L195" s="1">
        <v>23.2</v>
      </c>
      <c r="M195" s="1" t="s">
        <v>35</v>
      </c>
      <c r="N195" s="1">
        <v>35.4</v>
      </c>
      <c r="O195" s="1">
        <v>51.9</v>
      </c>
      <c r="P195" s="1">
        <v>2026</v>
      </c>
    </row>
    <row r="196" spans="1:16" x14ac:dyDescent="0.2">
      <c r="A196" s="1" t="s">
        <v>240</v>
      </c>
      <c r="B196" s="1" t="s">
        <v>67</v>
      </c>
      <c r="C196" s="1" t="s">
        <v>18</v>
      </c>
      <c r="D196" s="1" t="s">
        <v>30</v>
      </c>
      <c r="E196" s="1" t="s">
        <v>20</v>
      </c>
      <c r="F196" s="1">
        <v>437639</v>
      </c>
      <c r="G196" s="1">
        <v>91</v>
      </c>
      <c r="H196" s="1">
        <v>307</v>
      </c>
      <c r="I196" s="1">
        <v>2.35</v>
      </c>
      <c r="J196" s="1">
        <v>189792</v>
      </c>
      <c r="K196" s="1">
        <v>50089</v>
      </c>
      <c r="L196" s="1">
        <v>13</v>
      </c>
      <c r="M196" s="1" t="s">
        <v>21</v>
      </c>
      <c r="N196" s="1">
        <v>52.5</v>
      </c>
      <c r="O196" s="1">
        <v>103.4</v>
      </c>
      <c r="P196" s="1">
        <v>2026</v>
      </c>
    </row>
    <row r="197" spans="1:16" x14ac:dyDescent="0.2">
      <c r="A197" s="1" t="s">
        <v>241</v>
      </c>
      <c r="B197" s="1" t="s">
        <v>40</v>
      </c>
      <c r="C197" s="1" t="s">
        <v>41</v>
      </c>
      <c r="D197" s="1" t="s">
        <v>30</v>
      </c>
      <c r="E197" s="1" t="s">
        <v>26</v>
      </c>
      <c r="F197" s="1">
        <v>475018</v>
      </c>
      <c r="G197" s="1">
        <v>41</v>
      </c>
      <c r="H197" s="1">
        <v>430</v>
      </c>
      <c r="I197" s="1">
        <v>2.83</v>
      </c>
      <c r="J197" s="1">
        <v>91334</v>
      </c>
      <c r="K197" s="1">
        <v>59960</v>
      </c>
      <c r="L197" s="1">
        <v>22.4</v>
      </c>
      <c r="M197" s="1" t="s">
        <v>35</v>
      </c>
      <c r="N197" s="1">
        <v>22.2</v>
      </c>
      <c r="O197" s="1">
        <v>50.2</v>
      </c>
      <c r="P197" s="1">
        <v>2026</v>
      </c>
    </row>
    <row r="198" spans="1:16" x14ac:dyDescent="0.2">
      <c r="A198" s="1" t="s">
        <v>242</v>
      </c>
      <c r="B198" s="1" t="s">
        <v>40</v>
      </c>
      <c r="C198" s="1" t="s">
        <v>41</v>
      </c>
      <c r="D198" s="1" t="s">
        <v>44</v>
      </c>
      <c r="E198" s="1" t="s">
        <v>20</v>
      </c>
      <c r="F198" s="1">
        <v>452949</v>
      </c>
      <c r="G198" s="1">
        <v>118</v>
      </c>
      <c r="H198" s="1">
        <v>320</v>
      </c>
      <c r="I198" s="1">
        <v>2.04</v>
      </c>
      <c r="J198" s="1">
        <v>87016</v>
      </c>
      <c r="K198" s="1">
        <v>80200</v>
      </c>
      <c r="L198" s="1">
        <v>12.9</v>
      </c>
      <c r="M198" s="1" t="s">
        <v>35</v>
      </c>
      <c r="N198" s="1">
        <v>8.3000000000000007</v>
      </c>
      <c r="O198" s="1">
        <v>44.8</v>
      </c>
      <c r="P198" s="1">
        <v>2026</v>
      </c>
    </row>
    <row r="199" spans="1:16" x14ac:dyDescent="0.2">
      <c r="A199" s="1" t="s">
        <v>243</v>
      </c>
      <c r="B199" s="1" t="s">
        <v>67</v>
      </c>
      <c r="C199" s="1" t="s">
        <v>18</v>
      </c>
      <c r="D199" s="1" t="s">
        <v>48</v>
      </c>
      <c r="E199" s="1" t="s">
        <v>26</v>
      </c>
      <c r="F199" s="1">
        <v>675314</v>
      </c>
      <c r="G199" s="1">
        <v>58</v>
      </c>
      <c r="H199" s="1">
        <v>376</v>
      </c>
      <c r="I199" s="1">
        <v>2.37</v>
      </c>
      <c r="J199" s="1">
        <v>61519</v>
      </c>
      <c r="K199" s="1">
        <v>71802</v>
      </c>
      <c r="L199" s="1">
        <v>15.6</v>
      </c>
      <c r="M199" s="1" t="s">
        <v>21</v>
      </c>
      <c r="N199" s="1">
        <v>28.6</v>
      </c>
      <c r="O199" s="1">
        <v>168.2</v>
      </c>
      <c r="P199" s="1">
        <v>2026</v>
      </c>
    </row>
    <row r="200" spans="1:16" x14ac:dyDescent="0.2">
      <c r="A200" s="1" t="s">
        <v>244</v>
      </c>
      <c r="B200" s="1" t="s">
        <v>28</v>
      </c>
      <c r="C200" s="1" t="s">
        <v>29</v>
      </c>
      <c r="D200" s="1" t="s">
        <v>19</v>
      </c>
      <c r="E200" s="1" t="s">
        <v>26</v>
      </c>
      <c r="F200" s="1">
        <v>227504</v>
      </c>
      <c r="G200" s="1">
        <v>72</v>
      </c>
      <c r="H200" s="1">
        <v>295</v>
      </c>
      <c r="I200" s="1">
        <v>1.53</v>
      </c>
      <c r="J200" s="1">
        <v>69483</v>
      </c>
      <c r="K200" s="1">
        <v>74742</v>
      </c>
      <c r="L200" s="1">
        <v>23.7</v>
      </c>
      <c r="M200" s="1" t="s">
        <v>21</v>
      </c>
      <c r="N200" s="1">
        <v>6.5</v>
      </c>
      <c r="O200" s="1">
        <v>249.1</v>
      </c>
      <c r="P200" s="1">
        <v>2026</v>
      </c>
    </row>
    <row r="201" spans="1:16" x14ac:dyDescent="0.2">
      <c r="A201" s="1" t="s">
        <v>245</v>
      </c>
      <c r="B201" s="1" t="s">
        <v>53</v>
      </c>
      <c r="C201" s="1" t="s">
        <v>41</v>
      </c>
      <c r="D201" s="1" t="s">
        <v>37</v>
      </c>
      <c r="E201" s="1" t="s">
        <v>26</v>
      </c>
      <c r="F201" s="1">
        <v>407921</v>
      </c>
      <c r="G201" s="1">
        <v>90</v>
      </c>
      <c r="H201" s="1">
        <v>611</v>
      </c>
      <c r="I201" s="1">
        <v>2.2000000000000002</v>
      </c>
      <c r="J201" s="1">
        <v>160244</v>
      </c>
      <c r="K201" s="1">
        <v>45993</v>
      </c>
      <c r="L201" s="1">
        <v>23.8</v>
      </c>
      <c r="M201" s="1" t="s">
        <v>35</v>
      </c>
      <c r="N201" s="1">
        <v>9.1999999999999993</v>
      </c>
      <c r="O201" s="1">
        <v>69</v>
      </c>
      <c r="P201" s="1">
        <v>2026</v>
      </c>
    </row>
    <row r="202" spans="1:16" x14ac:dyDescent="0.2">
      <c r="A202" s="1" t="s">
        <v>246</v>
      </c>
      <c r="B202" s="1" t="s">
        <v>17</v>
      </c>
      <c r="C202" s="1" t="s">
        <v>18</v>
      </c>
      <c r="D202" s="1" t="s">
        <v>37</v>
      </c>
      <c r="E202" s="1" t="s">
        <v>20</v>
      </c>
      <c r="F202" s="1">
        <v>519998</v>
      </c>
      <c r="G202" s="1">
        <v>95</v>
      </c>
      <c r="H202" s="1">
        <v>465</v>
      </c>
      <c r="I202" s="1">
        <v>1.73</v>
      </c>
      <c r="J202" s="1">
        <v>126475</v>
      </c>
      <c r="K202" s="1">
        <v>61598</v>
      </c>
      <c r="L202" s="1">
        <v>14.7</v>
      </c>
      <c r="M202" s="1" t="s">
        <v>35</v>
      </c>
      <c r="N202" s="1">
        <v>43</v>
      </c>
      <c r="O202" s="1">
        <v>170.7</v>
      </c>
      <c r="P202" s="1">
        <v>2026</v>
      </c>
    </row>
    <row r="203" spans="1:16" ht="27.75" x14ac:dyDescent="0.2">
      <c r="A203" s="1" t="s">
        <v>247</v>
      </c>
      <c r="B203" s="1" t="s">
        <v>62</v>
      </c>
      <c r="C203" s="1" t="s">
        <v>41</v>
      </c>
      <c r="D203" s="1" t="s">
        <v>44</v>
      </c>
      <c r="E203" s="1" t="s">
        <v>34</v>
      </c>
      <c r="F203" s="1">
        <v>655026</v>
      </c>
      <c r="G203" s="1">
        <v>117</v>
      </c>
      <c r="H203" s="1">
        <v>253</v>
      </c>
      <c r="I203" s="1">
        <v>1.7</v>
      </c>
      <c r="J203" s="1">
        <v>175576</v>
      </c>
      <c r="K203" s="1">
        <v>47878</v>
      </c>
      <c r="L203" s="1">
        <v>24.4</v>
      </c>
      <c r="M203" s="1" t="s">
        <v>35</v>
      </c>
      <c r="N203" s="1">
        <v>62.1</v>
      </c>
      <c r="O203" s="1">
        <v>115.2</v>
      </c>
      <c r="P203" s="1">
        <v>2026</v>
      </c>
    </row>
    <row r="204" spans="1:16" x14ac:dyDescent="0.2">
      <c r="A204" s="1" t="s">
        <v>248</v>
      </c>
      <c r="B204" s="1" t="s">
        <v>43</v>
      </c>
      <c r="C204" s="1" t="s">
        <v>18</v>
      </c>
      <c r="D204" s="1" t="s">
        <v>59</v>
      </c>
      <c r="E204" s="1" t="s">
        <v>38</v>
      </c>
      <c r="F204" s="1">
        <v>592869</v>
      </c>
      <c r="G204" s="1">
        <v>73</v>
      </c>
      <c r="H204" s="1">
        <v>493</v>
      </c>
      <c r="I204" s="1">
        <v>1.7</v>
      </c>
      <c r="J204" s="1">
        <v>129984</v>
      </c>
      <c r="K204" s="1">
        <v>65673</v>
      </c>
      <c r="L204" s="1">
        <v>15</v>
      </c>
      <c r="M204" s="1" t="s">
        <v>35</v>
      </c>
      <c r="N204" s="1">
        <v>61.7</v>
      </c>
      <c r="O204" s="1">
        <v>145.19999999999999</v>
      </c>
      <c r="P204" s="1">
        <v>2026</v>
      </c>
    </row>
    <row r="205" spans="1:16" x14ac:dyDescent="0.2">
      <c r="A205" s="1" t="s">
        <v>249</v>
      </c>
      <c r="B205" s="1" t="s">
        <v>40</v>
      </c>
      <c r="C205" s="1" t="s">
        <v>41</v>
      </c>
      <c r="D205" s="1" t="s">
        <v>32</v>
      </c>
      <c r="E205" s="1" t="s">
        <v>26</v>
      </c>
      <c r="F205" s="1">
        <v>533267</v>
      </c>
      <c r="G205" s="1">
        <v>54</v>
      </c>
      <c r="H205" s="1">
        <v>545</v>
      </c>
      <c r="I205" s="1">
        <v>1.83</v>
      </c>
      <c r="J205" s="1">
        <v>100909</v>
      </c>
      <c r="K205" s="1">
        <v>51126</v>
      </c>
      <c r="L205" s="1">
        <v>16.8</v>
      </c>
      <c r="M205" s="1" t="s">
        <v>35</v>
      </c>
      <c r="N205" s="1">
        <v>48.1</v>
      </c>
      <c r="O205" s="1">
        <v>222.5</v>
      </c>
      <c r="P205" s="1">
        <v>2026</v>
      </c>
    </row>
    <row r="206" spans="1:16" x14ac:dyDescent="0.2">
      <c r="A206" s="1" t="s">
        <v>250</v>
      </c>
      <c r="B206" s="1" t="s">
        <v>53</v>
      </c>
      <c r="C206" s="1" t="s">
        <v>41</v>
      </c>
      <c r="D206" s="1" t="s">
        <v>25</v>
      </c>
      <c r="E206" s="1" t="s">
        <v>26</v>
      </c>
      <c r="F206" s="1">
        <v>319077</v>
      </c>
      <c r="G206" s="1">
        <v>49</v>
      </c>
      <c r="H206" s="1">
        <v>601</v>
      </c>
      <c r="I206" s="1">
        <v>1.87</v>
      </c>
      <c r="J206" s="1">
        <v>83379</v>
      </c>
      <c r="K206" s="1">
        <v>38213</v>
      </c>
      <c r="L206" s="1">
        <v>15.9</v>
      </c>
      <c r="M206" s="1" t="s">
        <v>35</v>
      </c>
      <c r="N206" s="1">
        <v>12.6</v>
      </c>
      <c r="O206" s="1">
        <v>57.6</v>
      </c>
      <c r="P206" s="1">
        <v>2026</v>
      </c>
    </row>
    <row r="207" spans="1:16" x14ac:dyDescent="0.2">
      <c r="A207" s="1" t="s">
        <v>251</v>
      </c>
      <c r="B207" s="1" t="s">
        <v>40</v>
      </c>
      <c r="C207" s="1" t="s">
        <v>41</v>
      </c>
      <c r="D207" s="1" t="s">
        <v>73</v>
      </c>
      <c r="E207" s="1" t="s">
        <v>38</v>
      </c>
      <c r="F207" s="1">
        <v>851189</v>
      </c>
      <c r="G207" s="1">
        <v>78</v>
      </c>
      <c r="H207" s="1">
        <v>434</v>
      </c>
      <c r="I207" s="1">
        <v>1.38</v>
      </c>
      <c r="J207" s="1">
        <v>70252</v>
      </c>
      <c r="K207" s="1">
        <v>72888</v>
      </c>
      <c r="L207" s="1">
        <v>24.7</v>
      </c>
      <c r="M207" s="1" t="s">
        <v>35</v>
      </c>
      <c r="N207" s="1">
        <v>61.1</v>
      </c>
      <c r="O207" s="1">
        <v>45.7</v>
      </c>
      <c r="P207" s="1">
        <v>2026</v>
      </c>
    </row>
    <row r="208" spans="1:16" ht="27.75" x14ac:dyDescent="0.2">
      <c r="A208" s="1" t="s">
        <v>252</v>
      </c>
      <c r="B208" s="1" t="s">
        <v>62</v>
      </c>
      <c r="C208" s="1" t="s">
        <v>41</v>
      </c>
      <c r="D208" s="1" t="s">
        <v>32</v>
      </c>
      <c r="E208" s="1" t="s">
        <v>26</v>
      </c>
      <c r="F208" s="1">
        <v>496039</v>
      </c>
      <c r="G208" s="1">
        <v>108</v>
      </c>
      <c r="H208" s="1">
        <v>292</v>
      </c>
      <c r="I208" s="1">
        <v>1.06</v>
      </c>
      <c r="J208" s="1">
        <v>58358</v>
      </c>
      <c r="K208" s="1">
        <v>81266</v>
      </c>
      <c r="L208" s="1">
        <v>24.8</v>
      </c>
      <c r="M208" s="1" t="s">
        <v>21</v>
      </c>
      <c r="N208" s="1">
        <v>18</v>
      </c>
      <c r="O208" s="1">
        <v>168.8</v>
      </c>
      <c r="P208" s="1">
        <v>2026</v>
      </c>
    </row>
    <row r="209" spans="1:16" x14ac:dyDescent="0.2">
      <c r="A209" s="1" t="s">
        <v>253</v>
      </c>
      <c r="B209" s="1" t="s">
        <v>17</v>
      </c>
      <c r="C209" s="1" t="s">
        <v>18</v>
      </c>
      <c r="D209" s="1" t="s">
        <v>30</v>
      </c>
      <c r="E209" s="1" t="s">
        <v>34</v>
      </c>
      <c r="F209" s="1">
        <v>622226</v>
      </c>
      <c r="G209" s="1">
        <v>50</v>
      </c>
      <c r="H209" s="1">
        <v>374</v>
      </c>
      <c r="I209" s="1">
        <v>2.42</v>
      </c>
      <c r="J209" s="1">
        <v>137629</v>
      </c>
      <c r="K209" s="1">
        <v>34898</v>
      </c>
      <c r="L209" s="1">
        <v>24.8</v>
      </c>
      <c r="M209" s="1" t="s">
        <v>21</v>
      </c>
      <c r="N209" s="1">
        <v>55.4</v>
      </c>
      <c r="O209" s="1">
        <v>232.8</v>
      </c>
      <c r="P209" s="1">
        <v>2026</v>
      </c>
    </row>
    <row r="210" spans="1:16" ht="27.75" x14ac:dyDescent="0.2">
      <c r="A210" s="1" t="s">
        <v>254</v>
      </c>
      <c r="B210" s="1" t="s">
        <v>62</v>
      </c>
      <c r="C210" s="1" t="s">
        <v>41</v>
      </c>
      <c r="D210" s="1" t="s">
        <v>19</v>
      </c>
      <c r="E210" s="1" t="s">
        <v>38</v>
      </c>
      <c r="F210" s="1">
        <v>69474</v>
      </c>
      <c r="G210" s="1">
        <v>46</v>
      </c>
      <c r="H210" s="1">
        <v>393</v>
      </c>
      <c r="I210" s="1">
        <v>1.75</v>
      </c>
      <c r="J210" s="1">
        <v>54097</v>
      </c>
      <c r="K210" s="1">
        <v>39080</v>
      </c>
      <c r="L210" s="1">
        <v>18.3</v>
      </c>
      <c r="M210" s="1" t="s">
        <v>35</v>
      </c>
      <c r="N210" s="1">
        <v>34.6</v>
      </c>
      <c r="O210" s="1">
        <v>107.6</v>
      </c>
      <c r="P210" s="1">
        <v>2026</v>
      </c>
    </row>
    <row r="211" spans="1:16" x14ac:dyDescent="0.2">
      <c r="A211" s="1" t="s">
        <v>255</v>
      </c>
      <c r="B211" s="1" t="s">
        <v>28</v>
      </c>
      <c r="C211" s="1" t="s">
        <v>29</v>
      </c>
      <c r="D211" s="1" t="s">
        <v>19</v>
      </c>
      <c r="E211" s="1" t="s">
        <v>26</v>
      </c>
      <c r="F211" s="1">
        <v>231386</v>
      </c>
      <c r="G211" s="1">
        <v>108</v>
      </c>
      <c r="H211" s="1">
        <v>496</v>
      </c>
      <c r="I211" s="1">
        <v>2.1800000000000002</v>
      </c>
      <c r="J211" s="1">
        <v>4297</v>
      </c>
      <c r="K211" s="1">
        <v>57436</v>
      </c>
      <c r="L211" s="1">
        <v>15.7</v>
      </c>
      <c r="M211" s="1" t="s">
        <v>35</v>
      </c>
      <c r="N211" s="1">
        <v>46.5</v>
      </c>
      <c r="O211" s="1">
        <v>250.5</v>
      </c>
      <c r="P211" s="1">
        <v>2026</v>
      </c>
    </row>
    <row r="212" spans="1:16" x14ac:dyDescent="0.2">
      <c r="A212" s="1" t="s">
        <v>256</v>
      </c>
      <c r="B212" s="1" t="s">
        <v>28</v>
      </c>
      <c r="C212" s="1" t="s">
        <v>29</v>
      </c>
      <c r="D212" s="1" t="s">
        <v>37</v>
      </c>
      <c r="E212" s="1" t="s">
        <v>38</v>
      </c>
      <c r="F212" s="1">
        <v>188296</v>
      </c>
      <c r="G212" s="1">
        <v>98</v>
      </c>
      <c r="H212" s="1">
        <v>339</v>
      </c>
      <c r="I212" s="1">
        <v>0.59</v>
      </c>
      <c r="J212" s="1">
        <v>16116</v>
      </c>
      <c r="K212" s="1">
        <v>67728</v>
      </c>
      <c r="L212" s="1">
        <v>15.7</v>
      </c>
      <c r="M212" s="1" t="s">
        <v>21</v>
      </c>
      <c r="N212" s="1">
        <v>62.8</v>
      </c>
      <c r="O212" s="1">
        <v>279.7</v>
      </c>
      <c r="P212" s="1">
        <v>2026</v>
      </c>
    </row>
    <row r="213" spans="1:16" ht="27.75" x14ac:dyDescent="0.2">
      <c r="A213" s="1" t="s">
        <v>257</v>
      </c>
      <c r="B213" s="1" t="s">
        <v>62</v>
      </c>
      <c r="C213" s="1" t="s">
        <v>41</v>
      </c>
      <c r="D213" s="1" t="s">
        <v>37</v>
      </c>
      <c r="E213" s="1" t="s">
        <v>26</v>
      </c>
      <c r="F213" s="1">
        <v>767062</v>
      </c>
      <c r="G213" s="1">
        <v>96</v>
      </c>
      <c r="H213" s="1">
        <v>269</v>
      </c>
      <c r="I213" s="1">
        <v>2.4700000000000002</v>
      </c>
      <c r="J213" s="1">
        <v>155321</v>
      </c>
      <c r="K213" s="1">
        <v>63340</v>
      </c>
      <c r="L213" s="1">
        <v>13.6</v>
      </c>
      <c r="M213" s="1" t="s">
        <v>35</v>
      </c>
      <c r="N213" s="1">
        <v>31.4</v>
      </c>
      <c r="O213" s="1">
        <v>200.8</v>
      </c>
      <c r="P213" s="1">
        <v>2026</v>
      </c>
    </row>
    <row r="214" spans="1:16" x14ac:dyDescent="0.2">
      <c r="A214" s="1" t="s">
        <v>258</v>
      </c>
      <c r="B214" s="1" t="s">
        <v>40</v>
      </c>
      <c r="C214" s="1" t="s">
        <v>41</v>
      </c>
      <c r="D214" s="1" t="s">
        <v>73</v>
      </c>
      <c r="E214" s="1" t="s">
        <v>34</v>
      </c>
      <c r="F214" s="1">
        <v>380687</v>
      </c>
      <c r="G214" s="1">
        <v>86</v>
      </c>
      <c r="H214" s="1">
        <v>417</v>
      </c>
      <c r="I214" s="1">
        <v>1.1200000000000001</v>
      </c>
      <c r="J214" s="1">
        <v>171273</v>
      </c>
      <c r="K214" s="1">
        <v>75163</v>
      </c>
      <c r="L214" s="1">
        <v>14</v>
      </c>
      <c r="M214" s="1" t="s">
        <v>21</v>
      </c>
      <c r="N214" s="1">
        <v>24.1</v>
      </c>
      <c r="O214" s="1">
        <v>51.5</v>
      </c>
      <c r="P214" s="1">
        <v>2026</v>
      </c>
    </row>
    <row r="215" spans="1:16" ht="27.75" x14ac:dyDescent="0.2">
      <c r="A215" s="1" t="s">
        <v>259</v>
      </c>
      <c r="B215" s="1" t="s">
        <v>23</v>
      </c>
      <c r="C215" s="1" t="s">
        <v>24</v>
      </c>
      <c r="D215" s="1" t="s">
        <v>19</v>
      </c>
      <c r="E215" s="1" t="s">
        <v>34</v>
      </c>
      <c r="F215" s="1">
        <v>399379</v>
      </c>
      <c r="G215" s="1">
        <v>44</v>
      </c>
      <c r="H215" s="1">
        <v>312</v>
      </c>
      <c r="I215" s="1">
        <v>2.15</v>
      </c>
      <c r="J215" s="1">
        <v>37727</v>
      </c>
      <c r="K215" s="1">
        <v>70060</v>
      </c>
      <c r="L215" s="1">
        <v>16.2</v>
      </c>
      <c r="M215" s="1" t="s">
        <v>35</v>
      </c>
      <c r="N215" s="1">
        <v>38.6</v>
      </c>
      <c r="O215" s="1">
        <v>155.6</v>
      </c>
      <c r="P215" s="1">
        <v>2026</v>
      </c>
    </row>
    <row r="216" spans="1:16" x14ac:dyDescent="0.2">
      <c r="A216" s="1" t="s">
        <v>260</v>
      </c>
      <c r="B216" s="1" t="s">
        <v>17</v>
      </c>
      <c r="C216" s="1" t="s">
        <v>18</v>
      </c>
      <c r="D216" s="1" t="s">
        <v>48</v>
      </c>
      <c r="E216" s="1" t="s">
        <v>38</v>
      </c>
      <c r="F216" s="1">
        <v>41652</v>
      </c>
      <c r="G216" s="1">
        <v>118</v>
      </c>
      <c r="H216" s="1">
        <v>521</v>
      </c>
      <c r="I216" s="1">
        <v>2.34</v>
      </c>
      <c r="J216" s="1">
        <v>182118</v>
      </c>
      <c r="K216" s="1">
        <v>43524</v>
      </c>
      <c r="L216" s="1">
        <v>22.9</v>
      </c>
      <c r="M216" s="1" t="s">
        <v>21</v>
      </c>
      <c r="N216" s="1">
        <v>52.9</v>
      </c>
      <c r="O216" s="1">
        <v>269.39999999999998</v>
      </c>
      <c r="P216" s="1">
        <v>2026</v>
      </c>
    </row>
    <row r="217" spans="1:16" x14ac:dyDescent="0.2">
      <c r="A217" s="1" t="s">
        <v>261</v>
      </c>
      <c r="B217" s="1" t="s">
        <v>40</v>
      </c>
      <c r="C217" s="1" t="s">
        <v>41</v>
      </c>
      <c r="D217" s="1" t="s">
        <v>73</v>
      </c>
      <c r="E217" s="1" t="s">
        <v>38</v>
      </c>
      <c r="F217" s="1">
        <v>476701</v>
      </c>
      <c r="G217" s="1">
        <v>68</v>
      </c>
      <c r="H217" s="1">
        <v>378</v>
      </c>
      <c r="I217" s="1">
        <v>1.53</v>
      </c>
      <c r="J217" s="1">
        <v>115470</v>
      </c>
      <c r="K217" s="1">
        <v>59327</v>
      </c>
      <c r="L217" s="1">
        <v>24.8</v>
      </c>
      <c r="M217" s="1" t="s">
        <v>35</v>
      </c>
      <c r="N217" s="1">
        <v>26</v>
      </c>
      <c r="O217" s="1">
        <v>165</v>
      </c>
      <c r="P217" s="1">
        <v>2026</v>
      </c>
    </row>
    <row r="218" spans="1:16" x14ac:dyDescent="0.2">
      <c r="A218" s="1" t="s">
        <v>262</v>
      </c>
      <c r="B218" s="1" t="s">
        <v>28</v>
      </c>
      <c r="C218" s="1" t="s">
        <v>29</v>
      </c>
      <c r="D218" s="1" t="s">
        <v>30</v>
      </c>
      <c r="E218" s="1" t="s">
        <v>26</v>
      </c>
      <c r="F218" s="1">
        <v>785616</v>
      </c>
      <c r="G218" s="1">
        <v>63</v>
      </c>
      <c r="H218" s="1">
        <v>603</v>
      </c>
      <c r="I218" s="1">
        <v>2.02</v>
      </c>
      <c r="J218" s="1">
        <v>112148</v>
      </c>
      <c r="K218" s="1">
        <v>70456</v>
      </c>
      <c r="L218" s="1">
        <v>16.100000000000001</v>
      </c>
      <c r="M218" s="1" t="s">
        <v>21</v>
      </c>
      <c r="N218" s="1">
        <v>15.5</v>
      </c>
      <c r="O218" s="1">
        <v>114.5</v>
      </c>
      <c r="P218" s="1">
        <v>2026</v>
      </c>
    </row>
    <row r="219" spans="1:16" x14ac:dyDescent="0.2">
      <c r="A219" s="1" t="s">
        <v>263</v>
      </c>
      <c r="B219" s="1" t="s">
        <v>28</v>
      </c>
      <c r="C219" s="1" t="s">
        <v>29</v>
      </c>
      <c r="D219" s="1" t="s">
        <v>19</v>
      </c>
      <c r="E219" s="1" t="s">
        <v>20</v>
      </c>
      <c r="F219" s="1">
        <v>53037</v>
      </c>
      <c r="G219" s="1">
        <v>111</v>
      </c>
      <c r="H219" s="1">
        <v>609</v>
      </c>
      <c r="I219" s="1">
        <v>2.68</v>
      </c>
      <c r="J219" s="1">
        <v>123706</v>
      </c>
      <c r="K219" s="1">
        <v>28135</v>
      </c>
      <c r="L219" s="1">
        <v>13.7</v>
      </c>
      <c r="M219" s="1" t="s">
        <v>35</v>
      </c>
      <c r="N219" s="1">
        <v>36.4</v>
      </c>
      <c r="O219" s="1">
        <v>70.5</v>
      </c>
      <c r="P219" s="1">
        <v>2026</v>
      </c>
    </row>
    <row r="220" spans="1:16" x14ac:dyDescent="0.2">
      <c r="A220" s="1" t="s">
        <v>264</v>
      </c>
      <c r="B220" s="1" t="s">
        <v>17</v>
      </c>
      <c r="C220" s="1" t="s">
        <v>18</v>
      </c>
      <c r="D220" s="1" t="s">
        <v>25</v>
      </c>
      <c r="E220" s="1" t="s">
        <v>20</v>
      </c>
      <c r="F220" s="1">
        <v>500550</v>
      </c>
      <c r="G220" s="1">
        <v>66</v>
      </c>
      <c r="H220" s="1">
        <v>442</v>
      </c>
      <c r="I220" s="1">
        <v>1.6</v>
      </c>
      <c r="J220" s="1">
        <v>67947</v>
      </c>
      <c r="K220" s="1">
        <v>52504</v>
      </c>
      <c r="L220" s="1">
        <v>19</v>
      </c>
      <c r="M220" s="1" t="s">
        <v>35</v>
      </c>
      <c r="N220" s="1">
        <v>26</v>
      </c>
      <c r="O220" s="1">
        <v>154.69999999999999</v>
      </c>
      <c r="P220" s="1">
        <v>2026</v>
      </c>
    </row>
    <row r="221" spans="1:16" x14ac:dyDescent="0.2">
      <c r="A221" s="1" t="s">
        <v>265</v>
      </c>
      <c r="B221" s="1" t="s">
        <v>17</v>
      </c>
      <c r="C221" s="1" t="s">
        <v>18</v>
      </c>
      <c r="D221" s="1" t="s">
        <v>59</v>
      </c>
      <c r="E221" s="1" t="s">
        <v>26</v>
      </c>
      <c r="F221" s="1">
        <v>429468</v>
      </c>
      <c r="G221" s="1">
        <v>97</v>
      </c>
      <c r="H221" s="1">
        <v>474</v>
      </c>
      <c r="I221" s="1">
        <v>1.73</v>
      </c>
      <c r="J221" s="1">
        <v>46353</v>
      </c>
      <c r="K221" s="1">
        <v>66112</v>
      </c>
      <c r="L221" s="1">
        <v>22.6</v>
      </c>
      <c r="M221" s="1" t="s">
        <v>35</v>
      </c>
      <c r="N221" s="1">
        <v>24.8</v>
      </c>
      <c r="O221" s="1">
        <v>199.4</v>
      </c>
      <c r="P221" s="1">
        <v>2026</v>
      </c>
    </row>
    <row r="222" spans="1:16" x14ac:dyDescent="0.2">
      <c r="A222" s="1" t="s">
        <v>266</v>
      </c>
      <c r="B222" s="1" t="s">
        <v>43</v>
      </c>
      <c r="C222" s="1" t="s">
        <v>18</v>
      </c>
      <c r="D222" s="1" t="s">
        <v>73</v>
      </c>
      <c r="E222" s="1" t="s">
        <v>34</v>
      </c>
      <c r="F222" s="1">
        <v>711885</v>
      </c>
      <c r="G222" s="1">
        <v>83</v>
      </c>
      <c r="H222" s="1">
        <v>252</v>
      </c>
      <c r="I222" s="1">
        <v>1.53</v>
      </c>
      <c r="J222" s="1">
        <v>176070</v>
      </c>
      <c r="K222" s="1">
        <v>82555</v>
      </c>
      <c r="L222" s="1">
        <v>23.8</v>
      </c>
      <c r="M222" s="1" t="s">
        <v>21</v>
      </c>
      <c r="N222" s="1">
        <v>51</v>
      </c>
      <c r="O222" s="1">
        <v>215.5</v>
      </c>
      <c r="P222" s="1">
        <v>2026</v>
      </c>
    </row>
    <row r="223" spans="1:16" ht="27.75" x14ac:dyDescent="0.2">
      <c r="A223" s="1" t="s">
        <v>267</v>
      </c>
      <c r="B223" s="1" t="s">
        <v>62</v>
      </c>
      <c r="C223" s="1" t="s">
        <v>41</v>
      </c>
      <c r="D223" s="1" t="s">
        <v>32</v>
      </c>
      <c r="E223" s="1" t="s">
        <v>34</v>
      </c>
      <c r="F223" s="1">
        <v>715571</v>
      </c>
      <c r="G223" s="1">
        <v>91</v>
      </c>
      <c r="H223" s="1">
        <v>533</v>
      </c>
      <c r="I223" s="1">
        <v>2.63</v>
      </c>
      <c r="J223" s="1">
        <v>157383</v>
      </c>
      <c r="K223" s="1">
        <v>81489</v>
      </c>
      <c r="L223" s="1">
        <v>16.3</v>
      </c>
      <c r="M223" s="1" t="s">
        <v>35</v>
      </c>
      <c r="N223" s="1">
        <v>23.3</v>
      </c>
      <c r="O223" s="1">
        <v>280.2</v>
      </c>
      <c r="P223" s="1">
        <v>2026</v>
      </c>
    </row>
    <row r="224" spans="1:16" x14ac:dyDescent="0.2">
      <c r="A224" s="1" t="s">
        <v>268</v>
      </c>
      <c r="B224" s="1" t="s">
        <v>40</v>
      </c>
      <c r="C224" s="1" t="s">
        <v>41</v>
      </c>
      <c r="D224" s="1" t="s">
        <v>19</v>
      </c>
      <c r="E224" s="1" t="s">
        <v>34</v>
      </c>
      <c r="F224" s="1">
        <v>181794</v>
      </c>
      <c r="G224" s="1">
        <v>86</v>
      </c>
      <c r="H224" s="1">
        <v>553</v>
      </c>
      <c r="I224" s="1">
        <v>1</v>
      </c>
      <c r="J224" s="1">
        <v>132527</v>
      </c>
      <c r="K224" s="1">
        <v>35981</v>
      </c>
      <c r="L224" s="1">
        <v>15.4</v>
      </c>
      <c r="M224" s="1" t="s">
        <v>35</v>
      </c>
      <c r="N224" s="1">
        <v>45.9</v>
      </c>
      <c r="O224" s="1">
        <v>91.3</v>
      </c>
      <c r="P224" s="1">
        <v>2026</v>
      </c>
    </row>
    <row r="225" spans="1:16" ht="27.75" x14ac:dyDescent="0.2">
      <c r="A225" s="1" t="s">
        <v>269</v>
      </c>
      <c r="B225" s="1" t="s">
        <v>23</v>
      </c>
      <c r="C225" s="1" t="s">
        <v>24</v>
      </c>
      <c r="D225" s="1" t="s">
        <v>46</v>
      </c>
      <c r="E225" s="1" t="s">
        <v>26</v>
      </c>
      <c r="F225" s="1">
        <v>615616</v>
      </c>
      <c r="G225" s="1">
        <v>46</v>
      </c>
      <c r="H225" s="1">
        <v>566</v>
      </c>
      <c r="I225" s="1">
        <v>0.56000000000000005</v>
      </c>
      <c r="J225" s="1">
        <v>46014</v>
      </c>
      <c r="K225" s="1">
        <v>73457</v>
      </c>
      <c r="L225" s="1">
        <v>12.3</v>
      </c>
      <c r="M225" s="1" t="s">
        <v>21</v>
      </c>
      <c r="N225" s="1">
        <v>18</v>
      </c>
      <c r="O225" s="1">
        <v>207.3</v>
      </c>
      <c r="P225" s="1">
        <v>2026</v>
      </c>
    </row>
    <row r="226" spans="1:16" x14ac:dyDescent="0.2">
      <c r="A226" s="1" t="s">
        <v>270</v>
      </c>
      <c r="B226" s="1" t="s">
        <v>56</v>
      </c>
      <c r="C226" s="1" t="s">
        <v>41</v>
      </c>
      <c r="D226" s="1" t="s">
        <v>32</v>
      </c>
      <c r="E226" s="1" t="s">
        <v>26</v>
      </c>
      <c r="F226" s="1">
        <v>434720</v>
      </c>
      <c r="G226" s="1">
        <v>96</v>
      </c>
      <c r="H226" s="1">
        <v>344</v>
      </c>
      <c r="I226" s="1">
        <v>0.59</v>
      </c>
      <c r="J226" s="1">
        <v>126192</v>
      </c>
      <c r="K226" s="1">
        <v>44029</v>
      </c>
      <c r="L226" s="1">
        <v>16.399999999999999</v>
      </c>
      <c r="M226" s="1" t="s">
        <v>35</v>
      </c>
      <c r="N226" s="1">
        <v>54.9</v>
      </c>
      <c r="O226" s="1">
        <v>161.4</v>
      </c>
      <c r="P226" s="1">
        <v>2026</v>
      </c>
    </row>
    <row r="227" spans="1:16" ht="27.75" x14ac:dyDescent="0.2">
      <c r="A227" s="1" t="s">
        <v>271</v>
      </c>
      <c r="B227" s="1" t="s">
        <v>23</v>
      </c>
      <c r="C227" s="1" t="s">
        <v>24</v>
      </c>
      <c r="D227" s="1" t="s">
        <v>59</v>
      </c>
      <c r="E227" s="1" t="s">
        <v>34</v>
      </c>
      <c r="F227" s="1">
        <v>404898</v>
      </c>
      <c r="G227" s="1">
        <v>79</v>
      </c>
      <c r="H227" s="1">
        <v>456</v>
      </c>
      <c r="I227" s="1">
        <v>0.99</v>
      </c>
      <c r="J227" s="1">
        <v>75529</v>
      </c>
      <c r="K227" s="1">
        <v>65942</v>
      </c>
      <c r="L227" s="1">
        <v>23.8</v>
      </c>
      <c r="M227" s="1" t="s">
        <v>35</v>
      </c>
      <c r="N227" s="1">
        <v>51.5</v>
      </c>
      <c r="O227" s="1">
        <v>230.4</v>
      </c>
      <c r="P227" s="1">
        <v>2026</v>
      </c>
    </row>
    <row r="228" spans="1:16" x14ac:dyDescent="0.2">
      <c r="A228" s="1" t="s">
        <v>272</v>
      </c>
      <c r="B228" s="1" t="s">
        <v>43</v>
      </c>
      <c r="C228" s="1" t="s">
        <v>18</v>
      </c>
      <c r="D228" s="1" t="s">
        <v>30</v>
      </c>
      <c r="E228" s="1" t="s">
        <v>26</v>
      </c>
      <c r="F228" s="1">
        <v>785439</v>
      </c>
      <c r="G228" s="1">
        <v>64</v>
      </c>
      <c r="H228" s="1">
        <v>350</v>
      </c>
      <c r="I228" s="1">
        <v>2.42</v>
      </c>
      <c r="J228" s="1">
        <v>82012</v>
      </c>
      <c r="K228" s="1">
        <v>65973</v>
      </c>
      <c r="L228" s="1">
        <v>17</v>
      </c>
      <c r="M228" s="1" t="s">
        <v>35</v>
      </c>
      <c r="N228" s="1">
        <v>39.200000000000003</v>
      </c>
      <c r="O228" s="1">
        <v>150.1</v>
      </c>
      <c r="P228" s="1">
        <v>2026</v>
      </c>
    </row>
    <row r="229" spans="1:16" x14ac:dyDescent="0.2">
      <c r="A229" s="1" t="s">
        <v>273</v>
      </c>
      <c r="B229" s="1" t="s">
        <v>28</v>
      </c>
      <c r="C229" s="1" t="s">
        <v>29</v>
      </c>
      <c r="D229" s="1" t="s">
        <v>32</v>
      </c>
      <c r="E229" s="1" t="s">
        <v>34</v>
      </c>
      <c r="F229" s="1">
        <v>260514</v>
      </c>
      <c r="G229" s="1">
        <v>108</v>
      </c>
      <c r="H229" s="1">
        <v>394</v>
      </c>
      <c r="I229" s="1">
        <v>0.66</v>
      </c>
      <c r="J229" s="1">
        <v>173823</v>
      </c>
      <c r="K229" s="1">
        <v>39080</v>
      </c>
      <c r="L229" s="1">
        <v>18.2</v>
      </c>
      <c r="M229" s="1" t="s">
        <v>21</v>
      </c>
      <c r="N229" s="1">
        <v>10.7</v>
      </c>
      <c r="O229" s="1">
        <v>192.9</v>
      </c>
      <c r="P229" s="1">
        <v>2026</v>
      </c>
    </row>
    <row r="230" spans="1:16" x14ac:dyDescent="0.2">
      <c r="A230" s="1" t="s">
        <v>274</v>
      </c>
      <c r="B230" s="1" t="s">
        <v>67</v>
      </c>
      <c r="C230" s="1" t="s">
        <v>18</v>
      </c>
      <c r="D230" s="1" t="s">
        <v>59</v>
      </c>
      <c r="E230" s="1" t="s">
        <v>38</v>
      </c>
      <c r="F230" s="1">
        <v>57820</v>
      </c>
      <c r="G230" s="1">
        <v>80</v>
      </c>
      <c r="H230" s="1">
        <v>538</v>
      </c>
      <c r="I230" s="1">
        <v>1.43</v>
      </c>
      <c r="J230" s="1">
        <v>55523</v>
      </c>
      <c r="K230" s="1">
        <v>77124</v>
      </c>
      <c r="L230" s="1">
        <v>22.1</v>
      </c>
      <c r="M230" s="1" t="s">
        <v>21</v>
      </c>
      <c r="N230" s="1">
        <v>45.5</v>
      </c>
      <c r="O230" s="1">
        <v>255</v>
      </c>
      <c r="P230" s="1">
        <v>2026</v>
      </c>
    </row>
    <row r="231" spans="1:16" x14ac:dyDescent="0.2">
      <c r="A231" s="1" t="s">
        <v>275</v>
      </c>
      <c r="B231" s="1" t="s">
        <v>28</v>
      </c>
      <c r="C231" s="1" t="s">
        <v>29</v>
      </c>
      <c r="D231" s="1" t="s">
        <v>37</v>
      </c>
      <c r="E231" s="1" t="s">
        <v>20</v>
      </c>
      <c r="F231" s="1">
        <v>7464</v>
      </c>
      <c r="G231" s="1">
        <v>92</v>
      </c>
      <c r="H231" s="1">
        <v>523</v>
      </c>
      <c r="I231" s="1">
        <v>2.4300000000000002</v>
      </c>
      <c r="J231" s="1">
        <v>186626</v>
      </c>
      <c r="K231" s="1">
        <v>62276</v>
      </c>
      <c r="L231" s="1">
        <v>12.9</v>
      </c>
      <c r="M231" s="1" t="s">
        <v>35</v>
      </c>
      <c r="N231" s="1">
        <v>48.1</v>
      </c>
      <c r="O231" s="1">
        <v>90.4</v>
      </c>
      <c r="P231" s="1">
        <v>2026</v>
      </c>
    </row>
    <row r="232" spans="1:16" ht="27.75" x14ac:dyDescent="0.2">
      <c r="A232" s="1" t="s">
        <v>276</v>
      </c>
      <c r="B232" s="1" t="s">
        <v>62</v>
      </c>
      <c r="C232" s="1" t="s">
        <v>41</v>
      </c>
      <c r="D232" s="1" t="s">
        <v>59</v>
      </c>
      <c r="E232" s="1" t="s">
        <v>20</v>
      </c>
      <c r="F232" s="1">
        <v>205895</v>
      </c>
      <c r="G232" s="1">
        <v>86</v>
      </c>
      <c r="H232" s="1">
        <v>475</v>
      </c>
      <c r="I232" s="1">
        <v>1.46</v>
      </c>
      <c r="J232" s="1">
        <v>143047</v>
      </c>
      <c r="K232" s="1">
        <v>38415</v>
      </c>
      <c r="L232" s="1">
        <v>18.3</v>
      </c>
      <c r="M232" s="1" t="s">
        <v>21</v>
      </c>
      <c r="N232" s="1">
        <v>15.9</v>
      </c>
      <c r="O232" s="1">
        <v>55.2</v>
      </c>
      <c r="P232" s="1">
        <v>2026</v>
      </c>
    </row>
    <row r="233" spans="1:16" x14ac:dyDescent="0.2">
      <c r="A233" s="1" t="s">
        <v>277</v>
      </c>
      <c r="B233" s="1" t="s">
        <v>67</v>
      </c>
      <c r="C233" s="1" t="s">
        <v>18</v>
      </c>
      <c r="D233" s="1" t="s">
        <v>73</v>
      </c>
      <c r="E233" s="1" t="s">
        <v>20</v>
      </c>
      <c r="F233" s="1">
        <v>583698</v>
      </c>
      <c r="G233" s="1">
        <v>96</v>
      </c>
      <c r="H233" s="1">
        <v>318</v>
      </c>
      <c r="I233" s="1">
        <v>1.35</v>
      </c>
      <c r="J233" s="1">
        <v>133464</v>
      </c>
      <c r="K233" s="1">
        <v>52029</v>
      </c>
      <c r="L233" s="1">
        <v>19.3</v>
      </c>
      <c r="M233" s="1" t="s">
        <v>35</v>
      </c>
      <c r="N233" s="1">
        <v>22.1</v>
      </c>
      <c r="O233" s="1">
        <v>257.39999999999998</v>
      </c>
      <c r="P233" s="1">
        <v>2026</v>
      </c>
    </row>
    <row r="234" spans="1:16" x14ac:dyDescent="0.2">
      <c r="A234" s="1" t="s">
        <v>278</v>
      </c>
      <c r="B234" s="1" t="s">
        <v>28</v>
      </c>
      <c r="C234" s="1" t="s">
        <v>29</v>
      </c>
      <c r="D234" s="1" t="s">
        <v>19</v>
      </c>
      <c r="E234" s="1" t="s">
        <v>38</v>
      </c>
      <c r="F234" s="1">
        <v>340289</v>
      </c>
      <c r="G234" s="1">
        <v>80</v>
      </c>
      <c r="H234" s="1">
        <v>283</v>
      </c>
      <c r="I234" s="1">
        <v>1.35</v>
      </c>
      <c r="J234" s="1">
        <v>82100</v>
      </c>
      <c r="K234" s="1">
        <v>34593</v>
      </c>
      <c r="L234" s="1">
        <v>13.2</v>
      </c>
      <c r="M234" s="1" t="s">
        <v>35</v>
      </c>
      <c r="N234" s="1">
        <v>29.8</v>
      </c>
      <c r="O234" s="1">
        <v>69.2</v>
      </c>
      <c r="P234" s="1">
        <v>2026</v>
      </c>
    </row>
    <row r="235" spans="1:16" x14ac:dyDescent="0.2">
      <c r="A235" s="1" t="s">
        <v>279</v>
      </c>
      <c r="B235" s="1" t="s">
        <v>67</v>
      </c>
      <c r="C235" s="1" t="s">
        <v>18</v>
      </c>
      <c r="D235" s="1" t="s">
        <v>59</v>
      </c>
      <c r="E235" s="1" t="s">
        <v>38</v>
      </c>
      <c r="F235" s="1">
        <v>644215</v>
      </c>
      <c r="G235" s="1">
        <v>43</v>
      </c>
      <c r="H235" s="1">
        <v>548</v>
      </c>
      <c r="I235" s="1">
        <v>1.63</v>
      </c>
      <c r="J235" s="1">
        <v>36926</v>
      </c>
      <c r="K235" s="1">
        <v>33900</v>
      </c>
      <c r="L235" s="1">
        <v>22.6</v>
      </c>
      <c r="M235" s="1" t="s">
        <v>21</v>
      </c>
      <c r="N235" s="1">
        <v>30.7</v>
      </c>
      <c r="O235" s="1">
        <v>238.8</v>
      </c>
      <c r="P235" s="1">
        <v>2026</v>
      </c>
    </row>
    <row r="236" spans="1:16" x14ac:dyDescent="0.2">
      <c r="A236" s="1" t="s">
        <v>280</v>
      </c>
      <c r="B236" s="1" t="s">
        <v>56</v>
      </c>
      <c r="C236" s="1" t="s">
        <v>41</v>
      </c>
      <c r="D236" s="1" t="s">
        <v>59</v>
      </c>
      <c r="E236" s="1" t="s">
        <v>34</v>
      </c>
      <c r="F236" s="1">
        <v>722695</v>
      </c>
      <c r="G236" s="1">
        <v>102</v>
      </c>
      <c r="H236" s="1">
        <v>469</v>
      </c>
      <c r="I236" s="1">
        <v>2.35</v>
      </c>
      <c r="J236" s="1">
        <v>44521</v>
      </c>
      <c r="K236" s="1">
        <v>63281</v>
      </c>
      <c r="L236" s="1">
        <v>24.7</v>
      </c>
      <c r="M236" s="1" t="s">
        <v>35</v>
      </c>
      <c r="N236" s="1">
        <v>27.5</v>
      </c>
      <c r="O236" s="1">
        <v>84.9</v>
      </c>
      <c r="P236" s="1">
        <v>2026</v>
      </c>
    </row>
    <row r="237" spans="1:16" ht="27.75" x14ac:dyDescent="0.2">
      <c r="A237" s="1" t="s">
        <v>281</v>
      </c>
      <c r="B237" s="1" t="s">
        <v>62</v>
      </c>
      <c r="C237" s="1" t="s">
        <v>41</v>
      </c>
      <c r="D237" s="1" t="s">
        <v>30</v>
      </c>
      <c r="E237" s="1" t="s">
        <v>38</v>
      </c>
      <c r="F237" s="1">
        <v>356064</v>
      </c>
      <c r="G237" s="1">
        <v>119</v>
      </c>
      <c r="H237" s="1">
        <v>558</v>
      </c>
      <c r="I237" s="1">
        <v>2.56</v>
      </c>
      <c r="J237" s="1">
        <v>175982</v>
      </c>
      <c r="K237" s="1">
        <v>27538</v>
      </c>
      <c r="L237" s="1">
        <v>14.9</v>
      </c>
      <c r="M237" s="1" t="s">
        <v>35</v>
      </c>
      <c r="N237" s="1">
        <v>24.5</v>
      </c>
      <c r="O237" s="1">
        <v>205.7</v>
      </c>
      <c r="P237" s="1">
        <v>2026</v>
      </c>
    </row>
    <row r="238" spans="1:16" ht="27.75" x14ac:dyDescent="0.2">
      <c r="A238" s="1" t="s">
        <v>282</v>
      </c>
      <c r="B238" s="1" t="s">
        <v>23</v>
      </c>
      <c r="C238" s="1" t="s">
        <v>24</v>
      </c>
      <c r="D238" s="1" t="s">
        <v>30</v>
      </c>
      <c r="E238" s="1" t="s">
        <v>20</v>
      </c>
      <c r="F238" s="1">
        <v>320677</v>
      </c>
      <c r="G238" s="1">
        <v>84</v>
      </c>
      <c r="H238" s="1">
        <v>642</v>
      </c>
      <c r="I238" s="1">
        <v>1.7</v>
      </c>
      <c r="J238" s="1">
        <v>30640</v>
      </c>
      <c r="K238" s="1">
        <v>36156</v>
      </c>
      <c r="L238" s="1">
        <v>13.8</v>
      </c>
      <c r="M238" s="1" t="s">
        <v>21</v>
      </c>
      <c r="N238" s="1">
        <v>17.100000000000001</v>
      </c>
      <c r="O238" s="1">
        <v>27.7</v>
      </c>
      <c r="P238" s="1">
        <v>2026</v>
      </c>
    </row>
    <row r="239" spans="1:16" ht="27.75" x14ac:dyDescent="0.2">
      <c r="A239" s="1" t="s">
        <v>283</v>
      </c>
      <c r="B239" s="1" t="s">
        <v>50</v>
      </c>
      <c r="C239" s="1" t="s">
        <v>24</v>
      </c>
      <c r="D239" s="1" t="s">
        <v>73</v>
      </c>
      <c r="E239" s="1" t="s">
        <v>26</v>
      </c>
      <c r="F239" s="1">
        <v>158373</v>
      </c>
      <c r="G239" s="1">
        <v>109</v>
      </c>
      <c r="H239" s="1">
        <v>632</v>
      </c>
      <c r="I239" s="1">
        <v>1.25</v>
      </c>
      <c r="J239" s="1">
        <v>162343</v>
      </c>
      <c r="K239" s="1">
        <v>31053</v>
      </c>
      <c r="L239" s="1">
        <v>13.9</v>
      </c>
      <c r="M239" s="1" t="s">
        <v>35</v>
      </c>
      <c r="N239" s="1">
        <v>53.3</v>
      </c>
      <c r="O239" s="1">
        <v>55.2</v>
      </c>
      <c r="P239" s="1">
        <v>2026</v>
      </c>
    </row>
    <row r="240" spans="1:16" x14ac:dyDescent="0.2">
      <c r="A240" s="1" t="s">
        <v>284</v>
      </c>
      <c r="B240" s="1" t="s">
        <v>53</v>
      </c>
      <c r="C240" s="1" t="s">
        <v>41</v>
      </c>
      <c r="D240" s="1" t="s">
        <v>30</v>
      </c>
      <c r="E240" s="1" t="s">
        <v>34</v>
      </c>
      <c r="F240" s="1">
        <v>775411</v>
      </c>
      <c r="G240" s="1">
        <v>84</v>
      </c>
      <c r="H240" s="1">
        <v>405</v>
      </c>
      <c r="I240" s="1">
        <v>2.95</v>
      </c>
      <c r="J240" s="1">
        <v>47532</v>
      </c>
      <c r="K240" s="1">
        <v>44365</v>
      </c>
      <c r="L240" s="1">
        <v>21.5</v>
      </c>
      <c r="M240" s="1" t="s">
        <v>35</v>
      </c>
      <c r="N240" s="1">
        <v>64.400000000000006</v>
      </c>
      <c r="O240" s="1">
        <v>49.2</v>
      </c>
      <c r="P240" s="1">
        <v>2026</v>
      </c>
    </row>
    <row r="241" spans="1:16" x14ac:dyDescent="0.2">
      <c r="A241" s="1" t="s">
        <v>285</v>
      </c>
      <c r="B241" s="1" t="s">
        <v>17</v>
      </c>
      <c r="C241" s="1" t="s">
        <v>18</v>
      </c>
      <c r="D241" s="1" t="s">
        <v>48</v>
      </c>
      <c r="E241" s="1" t="s">
        <v>26</v>
      </c>
      <c r="F241" s="1">
        <v>647217</v>
      </c>
      <c r="G241" s="1">
        <v>41</v>
      </c>
      <c r="H241" s="1">
        <v>572</v>
      </c>
      <c r="I241" s="1">
        <v>2.54</v>
      </c>
      <c r="J241" s="1">
        <v>168185</v>
      </c>
      <c r="K241" s="1">
        <v>56816</v>
      </c>
      <c r="L241" s="1">
        <v>20.6</v>
      </c>
      <c r="M241" s="1" t="s">
        <v>35</v>
      </c>
      <c r="N241" s="1">
        <v>23.3</v>
      </c>
      <c r="O241" s="1">
        <v>271.10000000000002</v>
      </c>
      <c r="P241" s="1">
        <v>2026</v>
      </c>
    </row>
    <row r="242" spans="1:16" x14ac:dyDescent="0.2">
      <c r="A242" s="1" t="s">
        <v>286</v>
      </c>
      <c r="B242" s="1" t="s">
        <v>56</v>
      </c>
      <c r="C242" s="1" t="s">
        <v>41</v>
      </c>
      <c r="D242" s="1" t="s">
        <v>73</v>
      </c>
      <c r="E242" s="1" t="s">
        <v>34</v>
      </c>
      <c r="F242" s="1">
        <v>208931</v>
      </c>
      <c r="G242" s="1">
        <v>118</v>
      </c>
      <c r="H242" s="1">
        <v>535</v>
      </c>
      <c r="I242" s="1">
        <v>2.88</v>
      </c>
      <c r="J242" s="1">
        <v>104191</v>
      </c>
      <c r="K242" s="1">
        <v>31849</v>
      </c>
      <c r="L242" s="1">
        <v>17.100000000000001</v>
      </c>
      <c r="M242" s="1" t="s">
        <v>35</v>
      </c>
      <c r="N242" s="1">
        <v>32.6</v>
      </c>
      <c r="O242" s="1">
        <v>45.4</v>
      </c>
      <c r="P242" s="1">
        <v>2026</v>
      </c>
    </row>
    <row r="243" spans="1:16" x14ac:dyDescent="0.2">
      <c r="A243" s="1" t="s">
        <v>287</v>
      </c>
      <c r="B243" s="1" t="s">
        <v>40</v>
      </c>
      <c r="C243" s="1" t="s">
        <v>41</v>
      </c>
      <c r="D243" s="1" t="s">
        <v>44</v>
      </c>
      <c r="E243" s="1" t="s">
        <v>34</v>
      </c>
      <c r="F243" s="1">
        <v>602454</v>
      </c>
      <c r="G243" s="1">
        <v>84</v>
      </c>
      <c r="H243" s="1">
        <v>283</v>
      </c>
      <c r="I243" s="1">
        <v>2.06</v>
      </c>
      <c r="J243" s="1">
        <v>33840</v>
      </c>
      <c r="K243" s="1">
        <v>41920</v>
      </c>
      <c r="L243" s="1">
        <v>20.8</v>
      </c>
      <c r="M243" s="1" t="s">
        <v>35</v>
      </c>
      <c r="N243" s="1">
        <v>7.4</v>
      </c>
      <c r="O243" s="1">
        <v>165.7</v>
      </c>
      <c r="P243" s="1">
        <v>2026</v>
      </c>
    </row>
    <row r="244" spans="1:16" ht="27.75" x14ac:dyDescent="0.2">
      <c r="A244" s="1" t="s">
        <v>288</v>
      </c>
      <c r="B244" s="1" t="s">
        <v>50</v>
      </c>
      <c r="C244" s="1" t="s">
        <v>24</v>
      </c>
      <c r="D244" s="1" t="s">
        <v>46</v>
      </c>
      <c r="E244" s="1" t="s">
        <v>38</v>
      </c>
      <c r="F244" s="1">
        <v>578801</v>
      </c>
      <c r="G244" s="1">
        <v>119</v>
      </c>
      <c r="H244" s="1">
        <v>402</v>
      </c>
      <c r="I244" s="1">
        <v>2.04</v>
      </c>
      <c r="J244" s="1">
        <v>132783</v>
      </c>
      <c r="K244" s="1">
        <v>33360</v>
      </c>
      <c r="L244" s="1">
        <v>23.9</v>
      </c>
      <c r="M244" s="1" t="s">
        <v>21</v>
      </c>
      <c r="N244" s="1">
        <v>58.8</v>
      </c>
      <c r="O244" s="1">
        <v>43.4</v>
      </c>
      <c r="P244" s="1">
        <v>2026</v>
      </c>
    </row>
    <row r="245" spans="1:16" x14ac:dyDescent="0.2">
      <c r="A245" s="1" t="s">
        <v>289</v>
      </c>
      <c r="B245" s="1" t="s">
        <v>56</v>
      </c>
      <c r="C245" s="1" t="s">
        <v>41</v>
      </c>
      <c r="D245" s="1" t="s">
        <v>44</v>
      </c>
      <c r="E245" s="1" t="s">
        <v>20</v>
      </c>
      <c r="F245" s="1">
        <v>608017</v>
      </c>
      <c r="G245" s="1">
        <v>118</v>
      </c>
      <c r="H245" s="1">
        <v>551</v>
      </c>
      <c r="I245" s="1">
        <v>2.72</v>
      </c>
      <c r="J245" s="1">
        <v>57241</v>
      </c>
      <c r="K245" s="1">
        <v>60331</v>
      </c>
      <c r="L245" s="1">
        <v>24.2</v>
      </c>
      <c r="M245" s="1" t="s">
        <v>21</v>
      </c>
      <c r="N245" s="1">
        <v>12.9</v>
      </c>
      <c r="O245" s="1">
        <v>211.6</v>
      </c>
      <c r="P245" s="1">
        <v>2026</v>
      </c>
    </row>
    <row r="246" spans="1:16" x14ac:dyDescent="0.2">
      <c r="A246" s="1" t="s">
        <v>290</v>
      </c>
      <c r="B246" s="1" t="s">
        <v>56</v>
      </c>
      <c r="C246" s="1" t="s">
        <v>41</v>
      </c>
      <c r="D246" s="1" t="s">
        <v>59</v>
      </c>
      <c r="E246" s="1" t="s">
        <v>26</v>
      </c>
      <c r="F246" s="1">
        <v>50358</v>
      </c>
      <c r="G246" s="1">
        <v>56</v>
      </c>
      <c r="H246" s="1">
        <v>523</v>
      </c>
      <c r="I246" s="1">
        <v>2.41</v>
      </c>
      <c r="J246" s="1">
        <v>152942</v>
      </c>
      <c r="K246" s="1">
        <v>72404</v>
      </c>
      <c r="L246" s="1">
        <v>21.4</v>
      </c>
      <c r="M246" s="1" t="s">
        <v>35</v>
      </c>
      <c r="N246" s="1">
        <v>43.8</v>
      </c>
      <c r="O246" s="1">
        <v>17.399999999999999</v>
      </c>
      <c r="P246" s="1">
        <v>2026</v>
      </c>
    </row>
    <row r="247" spans="1:16" x14ac:dyDescent="0.2">
      <c r="A247" s="1" t="s">
        <v>291</v>
      </c>
      <c r="B247" s="1" t="s">
        <v>40</v>
      </c>
      <c r="C247" s="1" t="s">
        <v>41</v>
      </c>
      <c r="D247" s="1" t="s">
        <v>48</v>
      </c>
      <c r="E247" s="1" t="s">
        <v>34</v>
      </c>
      <c r="F247" s="1">
        <v>702660</v>
      </c>
      <c r="G247" s="1">
        <v>101</v>
      </c>
      <c r="H247" s="1">
        <v>613</v>
      </c>
      <c r="I247" s="1">
        <v>0.88</v>
      </c>
      <c r="J247" s="1">
        <v>94188</v>
      </c>
      <c r="K247" s="1">
        <v>46454</v>
      </c>
      <c r="L247" s="1">
        <v>15.8</v>
      </c>
      <c r="M247" s="1" t="s">
        <v>35</v>
      </c>
      <c r="N247" s="1">
        <v>44.1</v>
      </c>
      <c r="O247" s="1">
        <v>79.900000000000006</v>
      </c>
      <c r="P247" s="1">
        <v>2026</v>
      </c>
    </row>
    <row r="248" spans="1:16" x14ac:dyDescent="0.2">
      <c r="A248" s="1" t="s">
        <v>292</v>
      </c>
      <c r="B248" s="1" t="s">
        <v>67</v>
      </c>
      <c r="C248" s="1" t="s">
        <v>18</v>
      </c>
      <c r="D248" s="1" t="s">
        <v>73</v>
      </c>
      <c r="E248" s="1" t="s">
        <v>20</v>
      </c>
      <c r="F248" s="1">
        <v>614052</v>
      </c>
      <c r="G248" s="1">
        <v>101</v>
      </c>
      <c r="H248" s="1">
        <v>536</v>
      </c>
      <c r="I248" s="1">
        <v>2.75</v>
      </c>
      <c r="J248" s="1">
        <v>192967</v>
      </c>
      <c r="K248" s="1">
        <v>68276</v>
      </c>
      <c r="L248" s="1">
        <v>13.5</v>
      </c>
      <c r="M248" s="1" t="s">
        <v>21</v>
      </c>
      <c r="N248" s="1">
        <v>9.5</v>
      </c>
      <c r="O248" s="1">
        <v>197.1</v>
      </c>
      <c r="P248" s="1">
        <v>2026</v>
      </c>
    </row>
    <row r="249" spans="1:16" x14ac:dyDescent="0.2">
      <c r="A249" s="1" t="s">
        <v>293</v>
      </c>
      <c r="B249" s="1" t="s">
        <v>17</v>
      </c>
      <c r="C249" s="1" t="s">
        <v>18</v>
      </c>
      <c r="D249" s="1" t="s">
        <v>19</v>
      </c>
      <c r="E249" s="1" t="s">
        <v>20</v>
      </c>
      <c r="F249" s="1">
        <v>353839</v>
      </c>
      <c r="G249" s="1">
        <v>117</v>
      </c>
      <c r="H249" s="1">
        <v>536</v>
      </c>
      <c r="I249" s="1">
        <v>1.59</v>
      </c>
      <c r="J249" s="1">
        <v>35818</v>
      </c>
      <c r="K249" s="1">
        <v>81700</v>
      </c>
      <c r="L249" s="1">
        <v>22.3</v>
      </c>
      <c r="M249" s="1" t="s">
        <v>21</v>
      </c>
      <c r="N249" s="1">
        <v>46.4</v>
      </c>
      <c r="O249" s="1">
        <v>198.6</v>
      </c>
      <c r="P249" s="1">
        <v>2026</v>
      </c>
    </row>
    <row r="250" spans="1:16" x14ac:dyDescent="0.2">
      <c r="A250" s="1" t="s">
        <v>294</v>
      </c>
      <c r="B250" s="1" t="s">
        <v>56</v>
      </c>
      <c r="C250" s="1" t="s">
        <v>41</v>
      </c>
      <c r="D250" s="1" t="s">
        <v>32</v>
      </c>
      <c r="E250" s="1" t="s">
        <v>20</v>
      </c>
      <c r="F250" s="1">
        <v>175751</v>
      </c>
      <c r="G250" s="1">
        <v>101</v>
      </c>
      <c r="H250" s="1">
        <v>276</v>
      </c>
      <c r="I250" s="1">
        <v>2.67</v>
      </c>
      <c r="J250" s="1">
        <v>180327</v>
      </c>
      <c r="K250" s="1">
        <v>32183</v>
      </c>
      <c r="L250" s="1">
        <v>13.3</v>
      </c>
      <c r="M250" s="1" t="s">
        <v>21</v>
      </c>
      <c r="N250" s="1">
        <v>37.9</v>
      </c>
      <c r="O250" s="1">
        <v>57.8</v>
      </c>
      <c r="P250" s="1">
        <v>2026</v>
      </c>
    </row>
    <row r="251" spans="1:16" x14ac:dyDescent="0.2">
      <c r="A251" s="1" t="s">
        <v>295</v>
      </c>
      <c r="B251" s="1" t="s">
        <v>56</v>
      </c>
      <c r="C251" s="1" t="s">
        <v>41</v>
      </c>
      <c r="D251" s="1" t="s">
        <v>46</v>
      </c>
      <c r="E251" s="1" t="s">
        <v>34</v>
      </c>
      <c r="F251" s="1">
        <v>631760</v>
      </c>
      <c r="G251" s="1">
        <v>74</v>
      </c>
      <c r="H251" s="1">
        <v>294</v>
      </c>
      <c r="I251" s="1">
        <v>0.75</v>
      </c>
      <c r="J251" s="1">
        <v>162411</v>
      </c>
      <c r="K251" s="1">
        <v>52751</v>
      </c>
      <c r="L251" s="1">
        <v>15.1</v>
      </c>
      <c r="M251" s="1" t="s">
        <v>21</v>
      </c>
      <c r="N251" s="1">
        <v>27.6</v>
      </c>
      <c r="O251" s="1">
        <v>238.7</v>
      </c>
      <c r="P251" s="1">
        <v>2026</v>
      </c>
    </row>
    <row r="252" spans="1:16" x14ac:dyDescent="0.2">
      <c r="A252" s="1" t="s">
        <v>296</v>
      </c>
      <c r="B252" s="1" t="s">
        <v>67</v>
      </c>
      <c r="C252" s="1" t="s">
        <v>18</v>
      </c>
      <c r="D252" s="1" t="s">
        <v>30</v>
      </c>
      <c r="E252" s="1" t="s">
        <v>26</v>
      </c>
      <c r="F252" s="1">
        <v>750771</v>
      </c>
      <c r="G252" s="1">
        <v>105</v>
      </c>
      <c r="H252" s="1">
        <v>272</v>
      </c>
      <c r="I252" s="1">
        <v>1.72</v>
      </c>
      <c r="J252" s="1">
        <v>36838</v>
      </c>
      <c r="K252" s="1">
        <v>55160</v>
      </c>
      <c r="L252" s="1">
        <v>12</v>
      </c>
      <c r="M252" s="1" t="s">
        <v>35</v>
      </c>
      <c r="N252" s="1">
        <v>36.4</v>
      </c>
      <c r="O252" s="1">
        <v>82.5</v>
      </c>
      <c r="P252" s="1">
        <v>2026</v>
      </c>
    </row>
    <row r="253" spans="1:16" x14ac:dyDescent="0.2">
      <c r="A253" s="1" t="s">
        <v>297</v>
      </c>
      <c r="B253" s="1" t="s">
        <v>67</v>
      </c>
      <c r="C253" s="1" t="s">
        <v>18</v>
      </c>
      <c r="D253" s="1" t="s">
        <v>19</v>
      </c>
      <c r="E253" s="1" t="s">
        <v>20</v>
      </c>
      <c r="F253" s="1">
        <v>872290</v>
      </c>
      <c r="G253" s="1">
        <v>75</v>
      </c>
      <c r="H253" s="1">
        <v>343</v>
      </c>
      <c r="I253" s="1">
        <v>1.61</v>
      </c>
      <c r="J253" s="1">
        <v>92497</v>
      </c>
      <c r="K253" s="1">
        <v>60225</v>
      </c>
      <c r="L253" s="1">
        <v>22.3</v>
      </c>
      <c r="M253" s="1" t="s">
        <v>35</v>
      </c>
      <c r="N253" s="1">
        <v>30.4</v>
      </c>
      <c r="O253" s="1">
        <v>260.10000000000002</v>
      </c>
      <c r="P253" s="1">
        <v>2026</v>
      </c>
    </row>
    <row r="254" spans="1:16" ht="27.75" x14ac:dyDescent="0.2">
      <c r="A254" s="1" t="s">
        <v>298</v>
      </c>
      <c r="B254" s="1" t="s">
        <v>50</v>
      </c>
      <c r="C254" s="1" t="s">
        <v>24</v>
      </c>
      <c r="D254" s="1" t="s">
        <v>46</v>
      </c>
      <c r="E254" s="1" t="s">
        <v>26</v>
      </c>
      <c r="F254" s="1">
        <v>696593</v>
      </c>
      <c r="G254" s="1">
        <v>65</v>
      </c>
      <c r="H254" s="1">
        <v>564</v>
      </c>
      <c r="I254" s="1">
        <v>1.6</v>
      </c>
      <c r="J254" s="1">
        <v>616</v>
      </c>
      <c r="K254" s="1">
        <v>81057</v>
      </c>
      <c r="L254" s="1">
        <v>15.6</v>
      </c>
      <c r="M254" s="1" t="s">
        <v>35</v>
      </c>
      <c r="N254" s="1">
        <v>43.2</v>
      </c>
      <c r="O254" s="1">
        <v>130</v>
      </c>
      <c r="P254" s="1">
        <v>2026</v>
      </c>
    </row>
    <row r="255" spans="1:16" x14ac:dyDescent="0.2">
      <c r="A255" s="1" t="s">
        <v>299</v>
      </c>
      <c r="B255" s="1" t="s">
        <v>56</v>
      </c>
      <c r="C255" s="1" t="s">
        <v>41</v>
      </c>
      <c r="D255" s="1" t="s">
        <v>44</v>
      </c>
      <c r="E255" s="1" t="s">
        <v>26</v>
      </c>
      <c r="F255" s="1">
        <v>48228</v>
      </c>
      <c r="G255" s="1">
        <v>87</v>
      </c>
      <c r="H255" s="1">
        <v>406</v>
      </c>
      <c r="I255" s="1">
        <v>1.06</v>
      </c>
      <c r="J255" s="1">
        <v>130406</v>
      </c>
      <c r="K255" s="1">
        <v>26218</v>
      </c>
      <c r="L255" s="1">
        <v>17.5</v>
      </c>
      <c r="M255" s="1" t="s">
        <v>21</v>
      </c>
      <c r="N255" s="1">
        <v>58.2</v>
      </c>
      <c r="O255" s="1">
        <v>197.3</v>
      </c>
      <c r="P255" s="1">
        <v>2026</v>
      </c>
    </row>
    <row r="256" spans="1:16" x14ac:dyDescent="0.2">
      <c r="A256" s="1" t="s">
        <v>300</v>
      </c>
      <c r="B256" s="1" t="s">
        <v>53</v>
      </c>
      <c r="C256" s="1" t="s">
        <v>41</v>
      </c>
      <c r="D256" s="1" t="s">
        <v>59</v>
      </c>
      <c r="E256" s="1" t="s">
        <v>26</v>
      </c>
      <c r="F256" s="1">
        <v>98318</v>
      </c>
      <c r="G256" s="1">
        <v>65</v>
      </c>
      <c r="H256" s="1">
        <v>309</v>
      </c>
      <c r="I256" s="1">
        <v>2.4500000000000002</v>
      </c>
      <c r="J256" s="1">
        <v>124093</v>
      </c>
      <c r="K256" s="1">
        <v>63833</v>
      </c>
      <c r="L256" s="1">
        <v>17.600000000000001</v>
      </c>
      <c r="M256" s="1" t="s">
        <v>21</v>
      </c>
      <c r="N256" s="1">
        <v>50.3</v>
      </c>
      <c r="O256" s="1">
        <v>90.3</v>
      </c>
      <c r="P256" s="1">
        <v>2026</v>
      </c>
    </row>
    <row r="257" spans="1:16" x14ac:dyDescent="0.2">
      <c r="A257" s="1" t="s">
        <v>301</v>
      </c>
      <c r="B257" s="1" t="s">
        <v>53</v>
      </c>
      <c r="C257" s="1" t="s">
        <v>41</v>
      </c>
      <c r="D257" s="1" t="s">
        <v>32</v>
      </c>
      <c r="E257" s="1" t="s">
        <v>20</v>
      </c>
      <c r="F257" s="1">
        <v>767150</v>
      </c>
      <c r="G257" s="1">
        <v>83</v>
      </c>
      <c r="H257" s="1">
        <v>443</v>
      </c>
      <c r="I257" s="1">
        <v>1.22</v>
      </c>
      <c r="J257" s="1">
        <v>135427</v>
      </c>
      <c r="K257" s="1">
        <v>73639</v>
      </c>
      <c r="L257" s="1">
        <v>14.6</v>
      </c>
      <c r="M257" s="1" t="s">
        <v>21</v>
      </c>
      <c r="N257" s="1">
        <v>36.299999999999997</v>
      </c>
      <c r="O257" s="1">
        <v>233.7</v>
      </c>
      <c r="P257" s="1">
        <v>2026</v>
      </c>
    </row>
    <row r="258" spans="1:16" x14ac:dyDescent="0.2">
      <c r="A258" s="1" t="s">
        <v>302</v>
      </c>
      <c r="B258" s="1" t="s">
        <v>43</v>
      </c>
      <c r="C258" s="1" t="s">
        <v>18</v>
      </c>
      <c r="D258" s="1" t="s">
        <v>37</v>
      </c>
      <c r="E258" s="1" t="s">
        <v>38</v>
      </c>
      <c r="F258" s="1">
        <v>626222</v>
      </c>
      <c r="G258" s="1">
        <v>104</v>
      </c>
      <c r="H258" s="1">
        <v>279</v>
      </c>
      <c r="I258" s="1">
        <v>2.04</v>
      </c>
      <c r="J258" s="1">
        <v>1576</v>
      </c>
      <c r="K258" s="1">
        <v>78714</v>
      </c>
      <c r="L258" s="1">
        <v>16.7</v>
      </c>
      <c r="M258" s="1" t="s">
        <v>21</v>
      </c>
      <c r="N258" s="1">
        <v>24.7</v>
      </c>
      <c r="O258" s="1">
        <v>34.4</v>
      </c>
      <c r="P258" s="1">
        <v>2026</v>
      </c>
    </row>
    <row r="259" spans="1:16" x14ac:dyDescent="0.2">
      <c r="A259" s="1" t="s">
        <v>303</v>
      </c>
      <c r="B259" s="1" t="s">
        <v>67</v>
      </c>
      <c r="C259" s="1" t="s">
        <v>18</v>
      </c>
      <c r="D259" s="1" t="s">
        <v>44</v>
      </c>
      <c r="E259" s="1" t="s">
        <v>26</v>
      </c>
      <c r="F259" s="1">
        <v>840990</v>
      </c>
      <c r="G259" s="1">
        <v>44</v>
      </c>
      <c r="H259" s="1">
        <v>475</v>
      </c>
      <c r="I259" s="1">
        <v>2</v>
      </c>
      <c r="J259" s="1">
        <v>150099</v>
      </c>
      <c r="K259" s="1">
        <v>60871</v>
      </c>
      <c r="L259" s="1">
        <v>15.5</v>
      </c>
      <c r="M259" s="1" t="s">
        <v>21</v>
      </c>
      <c r="N259" s="1">
        <v>49</v>
      </c>
      <c r="O259" s="1">
        <v>208.7</v>
      </c>
      <c r="P259" s="1">
        <v>2026</v>
      </c>
    </row>
    <row r="260" spans="1:16" x14ac:dyDescent="0.2">
      <c r="A260" s="1" t="s">
        <v>304</v>
      </c>
      <c r="B260" s="1" t="s">
        <v>28</v>
      </c>
      <c r="C260" s="1" t="s">
        <v>29</v>
      </c>
      <c r="D260" s="1" t="s">
        <v>59</v>
      </c>
      <c r="E260" s="1" t="s">
        <v>38</v>
      </c>
      <c r="F260" s="1">
        <v>483393</v>
      </c>
      <c r="G260" s="1">
        <v>96</v>
      </c>
      <c r="H260" s="1">
        <v>390</v>
      </c>
      <c r="I260" s="1">
        <v>2.61</v>
      </c>
      <c r="J260" s="1">
        <v>114334</v>
      </c>
      <c r="K260" s="1">
        <v>42542</v>
      </c>
      <c r="L260" s="1">
        <v>22.4</v>
      </c>
      <c r="M260" s="1" t="s">
        <v>35</v>
      </c>
      <c r="N260" s="1">
        <v>53.3</v>
      </c>
      <c r="O260" s="1">
        <v>157.4</v>
      </c>
      <c r="P260" s="1">
        <v>2026</v>
      </c>
    </row>
    <row r="261" spans="1:16" x14ac:dyDescent="0.2">
      <c r="A261" s="1" t="s">
        <v>305</v>
      </c>
      <c r="B261" s="1" t="s">
        <v>43</v>
      </c>
      <c r="C261" s="1" t="s">
        <v>18</v>
      </c>
      <c r="D261" s="1" t="s">
        <v>19</v>
      </c>
      <c r="E261" s="1" t="s">
        <v>20</v>
      </c>
      <c r="F261" s="1">
        <v>898047</v>
      </c>
      <c r="G261" s="1">
        <v>119</v>
      </c>
      <c r="H261" s="1">
        <v>554</v>
      </c>
      <c r="I261" s="1">
        <v>2.57</v>
      </c>
      <c r="J261" s="1">
        <v>74068</v>
      </c>
      <c r="K261" s="1">
        <v>70309</v>
      </c>
      <c r="L261" s="1">
        <v>19.7</v>
      </c>
      <c r="M261" s="1" t="s">
        <v>21</v>
      </c>
      <c r="N261" s="1">
        <v>35.700000000000003</v>
      </c>
      <c r="O261" s="1">
        <v>65.900000000000006</v>
      </c>
      <c r="P261" s="1">
        <v>2026</v>
      </c>
    </row>
    <row r="262" spans="1:16" ht="27.75" x14ac:dyDescent="0.2">
      <c r="A262" s="1" t="s">
        <v>306</v>
      </c>
      <c r="B262" s="1" t="s">
        <v>62</v>
      </c>
      <c r="C262" s="1" t="s">
        <v>41</v>
      </c>
      <c r="D262" s="1" t="s">
        <v>48</v>
      </c>
      <c r="E262" s="1" t="s">
        <v>38</v>
      </c>
      <c r="F262" s="1">
        <v>548995</v>
      </c>
      <c r="G262" s="1">
        <v>60</v>
      </c>
      <c r="H262" s="1">
        <v>516</v>
      </c>
      <c r="I262" s="1">
        <v>2.72</v>
      </c>
      <c r="J262" s="1">
        <v>118995</v>
      </c>
      <c r="K262" s="1">
        <v>71759</v>
      </c>
      <c r="L262" s="1">
        <v>18.399999999999999</v>
      </c>
      <c r="M262" s="1" t="s">
        <v>35</v>
      </c>
      <c r="N262" s="1">
        <v>17.100000000000001</v>
      </c>
      <c r="O262" s="1">
        <v>25.5</v>
      </c>
      <c r="P262" s="1">
        <v>2026</v>
      </c>
    </row>
    <row r="263" spans="1:16" x14ac:dyDescent="0.2">
      <c r="A263" s="1" t="s">
        <v>307</v>
      </c>
      <c r="B263" s="1" t="s">
        <v>56</v>
      </c>
      <c r="C263" s="1" t="s">
        <v>41</v>
      </c>
      <c r="D263" s="1" t="s">
        <v>37</v>
      </c>
      <c r="E263" s="1" t="s">
        <v>38</v>
      </c>
      <c r="F263" s="1">
        <v>216900</v>
      </c>
      <c r="G263" s="1">
        <v>78</v>
      </c>
      <c r="H263" s="1">
        <v>538</v>
      </c>
      <c r="I263" s="1">
        <v>1.28</v>
      </c>
      <c r="J263" s="1">
        <v>34214</v>
      </c>
      <c r="K263" s="1">
        <v>54007</v>
      </c>
      <c r="L263" s="1">
        <v>24.6</v>
      </c>
      <c r="M263" s="1" t="s">
        <v>35</v>
      </c>
      <c r="N263" s="1">
        <v>32.799999999999997</v>
      </c>
      <c r="O263" s="1">
        <v>251</v>
      </c>
      <c r="P263" s="1">
        <v>2026</v>
      </c>
    </row>
    <row r="264" spans="1:16" x14ac:dyDescent="0.2">
      <c r="A264" s="1" t="s">
        <v>308</v>
      </c>
      <c r="B264" s="1" t="s">
        <v>53</v>
      </c>
      <c r="C264" s="1" t="s">
        <v>41</v>
      </c>
      <c r="D264" s="1" t="s">
        <v>30</v>
      </c>
      <c r="E264" s="1" t="s">
        <v>26</v>
      </c>
      <c r="F264" s="1">
        <v>551602</v>
      </c>
      <c r="G264" s="1">
        <v>42</v>
      </c>
      <c r="H264" s="1">
        <v>361</v>
      </c>
      <c r="I264" s="1">
        <v>0.65</v>
      </c>
      <c r="J264" s="1">
        <v>45581</v>
      </c>
      <c r="K264" s="1">
        <v>74612</v>
      </c>
      <c r="L264" s="1">
        <v>19.899999999999999</v>
      </c>
      <c r="M264" s="1" t="s">
        <v>35</v>
      </c>
      <c r="N264" s="1">
        <v>39.6</v>
      </c>
      <c r="O264" s="1">
        <v>209</v>
      </c>
      <c r="P264" s="1">
        <v>2026</v>
      </c>
    </row>
    <row r="265" spans="1:16" x14ac:dyDescent="0.2">
      <c r="A265" s="1" t="s">
        <v>309</v>
      </c>
      <c r="B265" s="1" t="s">
        <v>56</v>
      </c>
      <c r="C265" s="1" t="s">
        <v>41</v>
      </c>
      <c r="D265" s="1" t="s">
        <v>46</v>
      </c>
      <c r="E265" s="1" t="s">
        <v>20</v>
      </c>
      <c r="F265" s="1">
        <v>730065</v>
      </c>
      <c r="G265" s="1">
        <v>74</v>
      </c>
      <c r="H265" s="1">
        <v>435</v>
      </c>
      <c r="I265" s="1">
        <v>1.73</v>
      </c>
      <c r="J265" s="1">
        <v>62152</v>
      </c>
      <c r="K265" s="1">
        <v>60534</v>
      </c>
      <c r="L265" s="1">
        <v>20.100000000000001</v>
      </c>
      <c r="M265" s="1" t="s">
        <v>35</v>
      </c>
      <c r="N265" s="1">
        <v>17.3</v>
      </c>
      <c r="O265" s="1">
        <v>29.7</v>
      </c>
      <c r="P265" s="1">
        <v>2026</v>
      </c>
    </row>
    <row r="266" spans="1:16" x14ac:dyDescent="0.2">
      <c r="A266" s="1" t="s">
        <v>310</v>
      </c>
      <c r="B266" s="1" t="s">
        <v>40</v>
      </c>
      <c r="C266" s="1" t="s">
        <v>41</v>
      </c>
      <c r="D266" s="1" t="s">
        <v>19</v>
      </c>
      <c r="E266" s="1" t="s">
        <v>38</v>
      </c>
      <c r="F266" s="1">
        <v>744424</v>
      </c>
      <c r="G266" s="1">
        <v>68</v>
      </c>
      <c r="H266" s="1">
        <v>407</v>
      </c>
      <c r="I266" s="1">
        <v>1.47</v>
      </c>
      <c r="J266" s="1">
        <v>83116</v>
      </c>
      <c r="K266" s="1">
        <v>77518</v>
      </c>
      <c r="L266" s="1">
        <v>17.7</v>
      </c>
      <c r="M266" s="1" t="s">
        <v>35</v>
      </c>
      <c r="N266" s="1">
        <v>43.2</v>
      </c>
      <c r="O266" s="1">
        <v>19.600000000000001</v>
      </c>
      <c r="P266" s="1">
        <v>2026</v>
      </c>
    </row>
    <row r="267" spans="1:16" x14ac:dyDescent="0.2">
      <c r="A267" s="1" t="s">
        <v>311</v>
      </c>
      <c r="B267" s="1" t="s">
        <v>43</v>
      </c>
      <c r="C267" s="1" t="s">
        <v>18</v>
      </c>
      <c r="D267" s="1" t="s">
        <v>44</v>
      </c>
      <c r="E267" s="1" t="s">
        <v>26</v>
      </c>
      <c r="F267" s="1">
        <v>218015</v>
      </c>
      <c r="G267" s="1">
        <v>116</v>
      </c>
      <c r="H267" s="1">
        <v>422</v>
      </c>
      <c r="I267" s="1">
        <v>0.85</v>
      </c>
      <c r="J267" s="1">
        <v>165777</v>
      </c>
      <c r="K267" s="1">
        <v>32930</v>
      </c>
      <c r="L267" s="1">
        <v>14.4</v>
      </c>
      <c r="M267" s="1" t="s">
        <v>35</v>
      </c>
      <c r="N267" s="1">
        <v>52.6</v>
      </c>
      <c r="O267" s="1">
        <v>185.3</v>
      </c>
      <c r="P267" s="1">
        <v>2026</v>
      </c>
    </row>
    <row r="268" spans="1:16" ht="27.75" x14ac:dyDescent="0.2">
      <c r="A268" s="1" t="s">
        <v>312</v>
      </c>
      <c r="B268" s="1" t="s">
        <v>50</v>
      </c>
      <c r="C268" s="1" t="s">
        <v>24</v>
      </c>
      <c r="D268" s="1" t="s">
        <v>73</v>
      </c>
      <c r="E268" s="1" t="s">
        <v>20</v>
      </c>
      <c r="F268" s="1">
        <v>518660</v>
      </c>
      <c r="G268" s="1">
        <v>94</v>
      </c>
      <c r="H268" s="1">
        <v>375</v>
      </c>
      <c r="I268" s="1">
        <v>2.54</v>
      </c>
      <c r="J268" s="1">
        <v>165598</v>
      </c>
      <c r="K268" s="1">
        <v>65820</v>
      </c>
      <c r="L268" s="1">
        <v>13.6</v>
      </c>
      <c r="M268" s="1" t="s">
        <v>21</v>
      </c>
      <c r="N268" s="1">
        <v>20.100000000000001</v>
      </c>
      <c r="O268" s="1">
        <v>180.9</v>
      </c>
      <c r="P268" s="1">
        <v>2026</v>
      </c>
    </row>
    <row r="269" spans="1:16" x14ac:dyDescent="0.2">
      <c r="A269" s="1" t="s">
        <v>313</v>
      </c>
      <c r="B269" s="1" t="s">
        <v>17</v>
      </c>
      <c r="C269" s="1" t="s">
        <v>18</v>
      </c>
      <c r="D269" s="1" t="s">
        <v>25</v>
      </c>
      <c r="E269" s="1" t="s">
        <v>26</v>
      </c>
      <c r="F269" s="1">
        <v>70507</v>
      </c>
      <c r="G269" s="1">
        <v>88</v>
      </c>
      <c r="H269" s="1">
        <v>286</v>
      </c>
      <c r="I269" s="1">
        <v>2.34</v>
      </c>
      <c r="J269" s="1">
        <v>124034</v>
      </c>
      <c r="K269" s="1">
        <v>57423</v>
      </c>
      <c r="L269" s="1">
        <v>19</v>
      </c>
      <c r="M269" s="1" t="s">
        <v>35</v>
      </c>
      <c r="N269" s="1">
        <v>41.1</v>
      </c>
      <c r="O269" s="1">
        <v>14.9</v>
      </c>
      <c r="P269" s="1">
        <v>2026</v>
      </c>
    </row>
    <row r="270" spans="1:16" ht="27.75" x14ac:dyDescent="0.2">
      <c r="A270" s="1" t="s">
        <v>314</v>
      </c>
      <c r="B270" s="1" t="s">
        <v>23</v>
      </c>
      <c r="C270" s="1" t="s">
        <v>24</v>
      </c>
      <c r="D270" s="1" t="s">
        <v>73</v>
      </c>
      <c r="E270" s="1" t="s">
        <v>26</v>
      </c>
      <c r="F270" s="1">
        <v>286965</v>
      </c>
      <c r="G270" s="1">
        <v>46</v>
      </c>
      <c r="H270" s="1">
        <v>602</v>
      </c>
      <c r="I270" s="1">
        <v>2.21</v>
      </c>
      <c r="J270" s="1">
        <v>96694</v>
      </c>
      <c r="K270" s="1">
        <v>69998</v>
      </c>
      <c r="L270" s="1">
        <v>17.7</v>
      </c>
      <c r="M270" s="1" t="s">
        <v>21</v>
      </c>
      <c r="N270" s="1">
        <v>40.6</v>
      </c>
      <c r="O270" s="1">
        <v>67.400000000000006</v>
      </c>
      <c r="P270" s="1">
        <v>2026</v>
      </c>
    </row>
    <row r="271" spans="1:16" ht="27.75" x14ac:dyDescent="0.2">
      <c r="A271" s="1" t="s">
        <v>315</v>
      </c>
      <c r="B271" s="1" t="s">
        <v>50</v>
      </c>
      <c r="C271" s="1" t="s">
        <v>24</v>
      </c>
      <c r="D271" s="1" t="s">
        <v>30</v>
      </c>
      <c r="E271" s="1" t="s">
        <v>34</v>
      </c>
      <c r="F271" s="1">
        <v>117019</v>
      </c>
      <c r="G271" s="1">
        <v>107</v>
      </c>
      <c r="H271" s="1">
        <v>583</v>
      </c>
      <c r="I271" s="1">
        <v>1.43</v>
      </c>
      <c r="J271" s="1">
        <v>98875</v>
      </c>
      <c r="K271" s="1">
        <v>30546</v>
      </c>
      <c r="L271" s="1">
        <v>19.899999999999999</v>
      </c>
      <c r="M271" s="1" t="s">
        <v>35</v>
      </c>
      <c r="N271" s="1">
        <v>51.5</v>
      </c>
      <c r="O271" s="1">
        <v>263.10000000000002</v>
      </c>
      <c r="P271" s="1">
        <v>2026</v>
      </c>
    </row>
    <row r="272" spans="1:16" ht="27.75" x14ac:dyDescent="0.2">
      <c r="A272" s="1" t="s">
        <v>316</v>
      </c>
      <c r="B272" s="1" t="s">
        <v>50</v>
      </c>
      <c r="C272" s="1" t="s">
        <v>24</v>
      </c>
      <c r="D272" s="1" t="s">
        <v>46</v>
      </c>
      <c r="E272" s="1" t="s">
        <v>38</v>
      </c>
      <c r="F272" s="1">
        <v>197116</v>
      </c>
      <c r="G272" s="1">
        <v>51</v>
      </c>
      <c r="H272" s="1">
        <v>457</v>
      </c>
      <c r="I272" s="1">
        <v>1.28</v>
      </c>
      <c r="J272" s="1">
        <v>95129</v>
      </c>
      <c r="K272" s="1">
        <v>58096</v>
      </c>
      <c r="L272" s="1">
        <v>20.100000000000001</v>
      </c>
      <c r="M272" s="1" t="s">
        <v>35</v>
      </c>
      <c r="N272" s="1">
        <v>34.799999999999997</v>
      </c>
      <c r="O272" s="1">
        <v>60.9</v>
      </c>
      <c r="P272" s="1">
        <v>2026</v>
      </c>
    </row>
    <row r="273" spans="1:16" x14ac:dyDescent="0.2">
      <c r="A273" s="1" t="s">
        <v>317</v>
      </c>
      <c r="B273" s="1" t="s">
        <v>56</v>
      </c>
      <c r="C273" s="1" t="s">
        <v>41</v>
      </c>
      <c r="D273" s="1" t="s">
        <v>30</v>
      </c>
      <c r="E273" s="1" t="s">
        <v>34</v>
      </c>
      <c r="F273" s="1">
        <v>710089</v>
      </c>
      <c r="G273" s="1">
        <v>97</v>
      </c>
      <c r="H273" s="1">
        <v>254</v>
      </c>
      <c r="I273" s="1">
        <v>0.85</v>
      </c>
      <c r="J273" s="1">
        <v>13878</v>
      </c>
      <c r="K273" s="1">
        <v>34336</v>
      </c>
      <c r="L273" s="1">
        <v>20.100000000000001</v>
      </c>
      <c r="M273" s="1" t="s">
        <v>35</v>
      </c>
      <c r="N273" s="1">
        <v>45.7</v>
      </c>
      <c r="O273" s="1">
        <v>183.5</v>
      </c>
      <c r="P273" s="1">
        <v>2026</v>
      </c>
    </row>
    <row r="274" spans="1:16" x14ac:dyDescent="0.2">
      <c r="A274" s="1" t="s">
        <v>318</v>
      </c>
      <c r="B274" s="1" t="s">
        <v>53</v>
      </c>
      <c r="C274" s="1" t="s">
        <v>41</v>
      </c>
      <c r="D274" s="1" t="s">
        <v>44</v>
      </c>
      <c r="E274" s="1" t="s">
        <v>34</v>
      </c>
      <c r="F274" s="1">
        <v>651657</v>
      </c>
      <c r="G274" s="1">
        <v>63</v>
      </c>
      <c r="H274" s="1">
        <v>487</v>
      </c>
      <c r="I274" s="1">
        <v>1.0900000000000001</v>
      </c>
      <c r="J274" s="1">
        <v>147904</v>
      </c>
      <c r="K274" s="1">
        <v>48136</v>
      </c>
      <c r="L274" s="1">
        <v>21.5</v>
      </c>
      <c r="M274" s="1" t="s">
        <v>35</v>
      </c>
      <c r="N274" s="1">
        <v>59.8</v>
      </c>
      <c r="O274" s="1">
        <v>51.3</v>
      </c>
      <c r="P274" s="1">
        <v>2026</v>
      </c>
    </row>
    <row r="275" spans="1:16" x14ac:dyDescent="0.2">
      <c r="A275" s="1" t="s">
        <v>319</v>
      </c>
      <c r="B275" s="1" t="s">
        <v>17</v>
      </c>
      <c r="C275" s="1" t="s">
        <v>18</v>
      </c>
      <c r="D275" s="1" t="s">
        <v>48</v>
      </c>
      <c r="E275" s="1" t="s">
        <v>20</v>
      </c>
      <c r="F275" s="1">
        <v>469923</v>
      </c>
      <c r="G275" s="1">
        <v>72</v>
      </c>
      <c r="H275" s="1">
        <v>486</v>
      </c>
      <c r="I275" s="1">
        <v>2.54</v>
      </c>
      <c r="J275" s="1">
        <v>162981</v>
      </c>
      <c r="K275" s="1">
        <v>63292</v>
      </c>
      <c r="L275" s="1">
        <v>15.7</v>
      </c>
      <c r="M275" s="1" t="s">
        <v>21</v>
      </c>
      <c r="N275" s="1">
        <v>30.5</v>
      </c>
      <c r="O275" s="1">
        <v>32.799999999999997</v>
      </c>
      <c r="P275" s="1">
        <v>2026</v>
      </c>
    </row>
    <row r="276" spans="1:16" ht="27.75" x14ac:dyDescent="0.2">
      <c r="A276" s="1" t="s">
        <v>320</v>
      </c>
      <c r="B276" s="1" t="s">
        <v>62</v>
      </c>
      <c r="C276" s="1" t="s">
        <v>41</v>
      </c>
      <c r="D276" s="1" t="s">
        <v>44</v>
      </c>
      <c r="E276" s="1" t="s">
        <v>34</v>
      </c>
      <c r="F276" s="1">
        <v>386618</v>
      </c>
      <c r="G276" s="1">
        <v>110</v>
      </c>
      <c r="H276" s="1">
        <v>274</v>
      </c>
      <c r="I276" s="1">
        <v>2.42</v>
      </c>
      <c r="J276" s="1">
        <v>112816</v>
      </c>
      <c r="K276" s="1">
        <v>78030</v>
      </c>
      <c r="L276" s="1">
        <v>13.3</v>
      </c>
      <c r="M276" s="1" t="s">
        <v>35</v>
      </c>
      <c r="N276" s="1">
        <v>32</v>
      </c>
      <c r="O276" s="1">
        <v>195.5</v>
      </c>
      <c r="P276" s="1">
        <v>2026</v>
      </c>
    </row>
    <row r="277" spans="1:16" ht="27.75" x14ac:dyDescent="0.2">
      <c r="A277" s="1" t="s">
        <v>321</v>
      </c>
      <c r="B277" s="1" t="s">
        <v>62</v>
      </c>
      <c r="C277" s="1" t="s">
        <v>41</v>
      </c>
      <c r="D277" s="1" t="s">
        <v>59</v>
      </c>
      <c r="E277" s="1" t="s">
        <v>26</v>
      </c>
      <c r="F277" s="1">
        <v>275007</v>
      </c>
      <c r="G277" s="1">
        <v>114</v>
      </c>
      <c r="H277" s="1">
        <v>460</v>
      </c>
      <c r="I277" s="1">
        <v>1.99</v>
      </c>
      <c r="J277" s="1">
        <v>41997</v>
      </c>
      <c r="K277" s="1">
        <v>84045</v>
      </c>
      <c r="L277" s="1">
        <v>13.3</v>
      </c>
      <c r="M277" s="1" t="s">
        <v>21</v>
      </c>
      <c r="N277" s="1">
        <v>46.2</v>
      </c>
      <c r="O277" s="1">
        <v>78.7</v>
      </c>
      <c r="P277" s="1">
        <v>2026</v>
      </c>
    </row>
    <row r="278" spans="1:16" x14ac:dyDescent="0.2">
      <c r="A278" s="1" t="s">
        <v>322</v>
      </c>
      <c r="B278" s="1" t="s">
        <v>53</v>
      </c>
      <c r="C278" s="1" t="s">
        <v>41</v>
      </c>
      <c r="D278" s="1" t="s">
        <v>48</v>
      </c>
      <c r="E278" s="1" t="s">
        <v>34</v>
      </c>
      <c r="F278" s="1">
        <v>470234</v>
      </c>
      <c r="G278" s="1">
        <v>96</v>
      </c>
      <c r="H278" s="1">
        <v>388</v>
      </c>
      <c r="I278" s="1">
        <v>0.54</v>
      </c>
      <c r="J278" s="1">
        <v>59985</v>
      </c>
      <c r="K278" s="1">
        <v>56746</v>
      </c>
      <c r="L278" s="1">
        <v>24.6</v>
      </c>
      <c r="M278" s="1" t="s">
        <v>35</v>
      </c>
      <c r="N278" s="1">
        <v>23.4</v>
      </c>
      <c r="O278" s="1">
        <v>14.5</v>
      </c>
      <c r="P278" s="1">
        <v>2026</v>
      </c>
    </row>
    <row r="279" spans="1:16" x14ac:dyDescent="0.2">
      <c r="A279" s="1" t="s">
        <v>323</v>
      </c>
      <c r="B279" s="1" t="s">
        <v>40</v>
      </c>
      <c r="C279" s="1" t="s">
        <v>41</v>
      </c>
      <c r="D279" s="1" t="s">
        <v>48</v>
      </c>
      <c r="E279" s="1" t="s">
        <v>26</v>
      </c>
      <c r="F279" s="1">
        <v>455773</v>
      </c>
      <c r="G279" s="1">
        <v>93</v>
      </c>
      <c r="H279" s="1">
        <v>387</v>
      </c>
      <c r="I279" s="1">
        <v>1.61</v>
      </c>
      <c r="J279" s="1">
        <v>24486</v>
      </c>
      <c r="K279" s="1">
        <v>49846</v>
      </c>
      <c r="L279" s="1">
        <v>24.7</v>
      </c>
      <c r="M279" s="1" t="s">
        <v>35</v>
      </c>
      <c r="N279" s="1">
        <v>33.799999999999997</v>
      </c>
      <c r="O279" s="1">
        <v>199.2</v>
      </c>
      <c r="P279" s="1">
        <v>2026</v>
      </c>
    </row>
    <row r="280" spans="1:16" x14ac:dyDescent="0.2">
      <c r="A280" s="1" t="s">
        <v>324</v>
      </c>
      <c r="B280" s="1" t="s">
        <v>17</v>
      </c>
      <c r="C280" s="1" t="s">
        <v>18</v>
      </c>
      <c r="D280" s="1" t="s">
        <v>37</v>
      </c>
      <c r="E280" s="1" t="s">
        <v>34</v>
      </c>
      <c r="F280" s="1">
        <v>320136</v>
      </c>
      <c r="G280" s="1">
        <v>62</v>
      </c>
      <c r="H280" s="1">
        <v>506</v>
      </c>
      <c r="I280" s="1">
        <v>2.96</v>
      </c>
      <c r="J280" s="1">
        <v>89244</v>
      </c>
      <c r="K280" s="1">
        <v>53746</v>
      </c>
      <c r="L280" s="1">
        <v>19</v>
      </c>
      <c r="M280" s="1" t="s">
        <v>35</v>
      </c>
      <c r="N280" s="1">
        <v>12</v>
      </c>
      <c r="O280" s="1">
        <v>225.6</v>
      </c>
      <c r="P280" s="1">
        <v>2026</v>
      </c>
    </row>
    <row r="281" spans="1:16" x14ac:dyDescent="0.2">
      <c r="A281" s="1" t="s">
        <v>325</v>
      </c>
      <c r="B281" s="1" t="s">
        <v>28</v>
      </c>
      <c r="C281" s="1" t="s">
        <v>29</v>
      </c>
      <c r="D281" s="1" t="s">
        <v>37</v>
      </c>
      <c r="E281" s="1" t="s">
        <v>26</v>
      </c>
      <c r="F281" s="1">
        <v>508414</v>
      </c>
      <c r="G281" s="1">
        <v>55</v>
      </c>
      <c r="H281" s="1">
        <v>469</v>
      </c>
      <c r="I281" s="1">
        <v>2.88</v>
      </c>
      <c r="J281" s="1">
        <v>154650</v>
      </c>
      <c r="K281" s="1">
        <v>32165</v>
      </c>
      <c r="L281" s="1">
        <v>13.5</v>
      </c>
      <c r="M281" s="1" t="s">
        <v>21</v>
      </c>
      <c r="N281" s="1">
        <v>45.6</v>
      </c>
      <c r="O281" s="1">
        <v>272.60000000000002</v>
      </c>
      <c r="P281" s="1">
        <v>2026</v>
      </c>
    </row>
    <row r="282" spans="1:16" x14ac:dyDescent="0.2">
      <c r="A282" s="1" t="s">
        <v>326</v>
      </c>
      <c r="B282" s="1" t="s">
        <v>56</v>
      </c>
      <c r="C282" s="1" t="s">
        <v>41</v>
      </c>
      <c r="D282" s="1" t="s">
        <v>19</v>
      </c>
      <c r="E282" s="1" t="s">
        <v>26</v>
      </c>
      <c r="F282" s="1">
        <v>462886</v>
      </c>
      <c r="G282" s="1">
        <v>42</v>
      </c>
      <c r="H282" s="1">
        <v>262</v>
      </c>
      <c r="I282" s="1">
        <v>1.64</v>
      </c>
      <c r="J282" s="1">
        <v>53975</v>
      </c>
      <c r="K282" s="1">
        <v>58976</v>
      </c>
      <c r="L282" s="1">
        <v>19.8</v>
      </c>
      <c r="M282" s="1" t="s">
        <v>21</v>
      </c>
      <c r="N282" s="1">
        <v>44.5</v>
      </c>
      <c r="O282" s="1">
        <v>67</v>
      </c>
      <c r="P282" s="1">
        <v>2026</v>
      </c>
    </row>
    <row r="283" spans="1:16" x14ac:dyDescent="0.2">
      <c r="A283" s="1" t="s">
        <v>327</v>
      </c>
      <c r="B283" s="1" t="s">
        <v>40</v>
      </c>
      <c r="C283" s="1" t="s">
        <v>41</v>
      </c>
      <c r="D283" s="1" t="s">
        <v>37</v>
      </c>
      <c r="E283" s="1" t="s">
        <v>20</v>
      </c>
      <c r="F283" s="1">
        <v>70139</v>
      </c>
      <c r="G283" s="1">
        <v>109</v>
      </c>
      <c r="H283" s="1">
        <v>623</v>
      </c>
      <c r="I283" s="1">
        <v>2.96</v>
      </c>
      <c r="J283" s="1">
        <v>121983</v>
      </c>
      <c r="K283" s="1">
        <v>60639</v>
      </c>
      <c r="L283" s="1">
        <v>23.3</v>
      </c>
      <c r="M283" s="1" t="s">
        <v>21</v>
      </c>
      <c r="N283" s="1">
        <v>31.5</v>
      </c>
      <c r="O283" s="1">
        <v>192.1</v>
      </c>
      <c r="P283" s="1">
        <v>2026</v>
      </c>
    </row>
    <row r="284" spans="1:16" x14ac:dyDescent="0.2">
      <c r="A284" s="1" t="s">
        <v>328</v>
      </c>
      <c r="B284" s="1" t="s">
        <v>28</v>
      </c>
      <c r="C284" s="1" t="s">
        <v>29</v>
      </c>
      <c r="D284" s="1" t="s">
        <v>46</v>
      </c>
      <c r="E284" s="1" t="s">
        <v>34</v>
      </c>
      <c r="F284" s="1">
        <v>105712</v>
      </c>
      <c r="G284" s="1">
        <v>83</v>
      </c>
      <c r="H284" s="1">
        <v>545</v>
      </c>
      <c r="I284" s="1">
        <v>1.79</v>
      </c>
      <c r="J284" s="1">
        <v>95238</v>
      </c>
      <c r="K284" s="1">
        <v>75123</v>
      </c>
      <c r="L284" s="1">
        <v>13.2</v>
      </c>
      <c r="M284" s="1" t="s">
        <v>21</v>
      </c>
      <c r="N284" s="1">
        <v>46.8</v>
      </c>
      <c r="O284" s="1">
        <v>192.7</v>
      </c>
      <c r="P284" s="1">
        <v>2026</v>
      </c>
    </row>
    <row r="285" spans="1:16" ht="27.75" x14ac:dyDescent="0.2">
      <c r="A285" s="1" t="s">
        <v>329</v>
      </c>
      <c r="B285" s="1" t="s">
        <v>62</v>
      </c>
      <c r="C285" s="1" t="s">
        <v>41</v>
      </c>
      <c r="D285" s="1" t="s">
        <v>46</v>
      </c>
      <c r="E285" s="1" t="s">
        <v>20</v>
      </c>
      <c r="F285" s="1">
        <v>381380</v>
      </c>
      <c r="G285" s="1">
        <v>64</v>
      </c>
      <c r="H285" s="1">
        <v>639</v>
      </c>
      <c r="I285" s="1">
        <v>0.84</v>
      </c>
      <c r="J285" s="1">
        <v>118002</v>
      </c>
      <c r="K285" s="1">
        <v>45592</v>
      </c>
      <c r="L285" s="1">
        <v>25</v>
      </c>
      <c r="M285" s="1" t="s">
        <v>21</v>
      </c>
      <c r="N285" s="1">
        <v>28.9</v>
      </c>
      <c r="O285" s="1">
        <v>270.7</v>
      </c>
      <c r="P285" s="1">
        <v>2026</v>
      </c>
    </row>
    <row r="286" spans="1:16" x14ac:dyDescent="0.2">
      <c r="A286" s="1" t="s">
        <v>330</v>
      </c>
      <c r="B286" s="1" t="s">
        <v>56</v>
      </c>
      <c r="C286" s="1" t="s">
        <v>41</v>
      </c>
      <c r="D286" s="1" t="s">
        <v>73</v>
      </c>
      <c r="E286" s="1" t="s">
        <v>20</v>
      </c>
      <c r="F286" s="1">
        <v>654240</v>
      </c>
      <c r="G286" s="1">
        <v>89</v>
      </c>
      <c r="H286" s="1">
        <v>391</v>
      </c>
      <c r="I286" s="1">
        <v>2.57</v>
      </c>
      <c r="J286" s="1">
        <v>155235</v>
      </c>
      <c r="K286" s="1">
        <v>55904</v>
      </c>
      <c r="L286" s="1">
        <v>15</v>
      </c>
      <c r="M286" s="1" t="s">
        <v>21</v>
      </c>
      <c r="N286" s="1">
        <v>17.5</v>
      </c>
      <c r="O286" s="1">
        <v>112.2</v>
      </c>
      <c r="P286" s="1">
        <v>2026</v>
      </c>
    </row>
    <row r="287" spans="1:16" x14ac:dyDescent="0.2">
      <c r="A287" s="1" t="s">
        <v>331</v>
      </c>
      <c r="B287" s="1" t="s">
        <v>43</v>
      </c>
      <c r="C287" s="1" t="s">
        <v>18</v>
      </c>
      <c r="D287" s="1" t="s">
        <v>48</v>
      </c>
      <c r="E287" s="1" t="s">
        <v>26</v>
      </c>
      <c r="F287" s="1">
        <v>768510</v>
      </c>
      <c r="G287" s="1">
        <v>52</v>
      </c>
      <c r="H287" s="1">
        <v>609</v>
      </c>
      <c r="I287" s="1">
        <v>1.37</v>
      </c>
      <c r="J287" s="1">
        <v>77404</v>
      </c>
      <c r="K287" s="1">
        <v>42789</v>
      </c>
      <c r="L287" s="1">
        <v>17.100000000000001</v>
      </c>
      <c r="M287" s="1" t="s">
        <v>21</v>
      </c>
      <c r="N287" s="1">
        <v>51.2</v>
      </c>
      <c r="O287" s="1">
        <v>46</v>
      </c>
      <c r="P287" s="1">
        <v>2026</v>
      </c>
    </row>
    <row r="288" spans="1:16" ht="27.75" x14ac:dyDescent="0.2">
      <c r="A288" s="1" t="s">
        <v>332</v>
      </c>
      <c r="B288" s="1" t="s">
        <v>50</v>
      </c>
      <c r="C288" s="1" t="s">
        <v>24</v>
      </c>
      <c r="D288" s="1" t="s">
        <v>37</v>
      </c>
      <c r="E288" s="1" t="s">
        <v>38</v>
      </c>
      <c r="F288" s="1">
        <v>101407</v>
      </c>
      <c r="G288" s="1">
        <v>92</v>
      </c>
      <c r="H288" s="1">
        <v>586</v>
      </c>
      <c r="I288" s="1">
        <v>0.79</v>
      </c>
      <c r="J288" s="1">
        <v>20420</v>
      </c>
      <c r="K288" s="1">
        <v>37245</v>
      </c>
      <c r="L288" s="1">
        <v>16.600000000000001</v>
      </c>
      <c r="M288" s="1" t="s">
        <v>21</v>
      </c>
      <c r="N288" s="1">
        <v>31.1</v>
      </c>
      <c r="O288" s="1">
        <v>209.3</v>
      </c>
      <c r="P288" s="1">
        <v>2026</v>
      </c>
    </row>
    <row r="289" spans="1:16" ht="27.75" x14ac:dyDescent="0.2">
      <c r="A289" s="1" t="s">
        <v>333</v>
      </c>
      <c r="B289" s="1" t="s">
        <v>23</v>
      </c>
      <c r="C289" s="1" t="s">
        <v>24</v>
      </c>
      <c r="D289" s="1" t="s">
        <v>32</v>
      </c>
      <c r="E289" s="1" t="s">
        <v>26</v>
      </c>
      <c r="F289" s="1">
        <v>883102</v>
      </c>
      <c r="G289" s="1">
        <v>118</v>
      </c>
      <c r="H289" s="1">
        <v>549</v>
      </c>
      <c r="I289" s="1">
        <v>2.4500000000000002</v>
      </c>
      <c r="J289" s="1">
        <v>135011</v>
      </c>
      <c r="K289" s="1">
        <v>40917</v>
      </c>
      <c r="L289" s="1">
        <v>20.2</v>
      </c>
      <c r="M289" s="1" t="s">
        <v>21</v>
      </c>
      <c r="N289" s="1">
        <v>24.2</v>
      </c>
      <c r="O289" s="1">
        <v>117</v>
      </c>
      <c r="P289" s="1">
        <v>2026</v>
      </c>
    </row>
    <row r="290" spans="1:16" x14ac:dyDescent="0.2">
      <c r="A290" s="1" t="s">
        <v>334</v>
      </c>
      <c r="B290" s="1" t="s">
        <v>17</v>
      </c>
      <c r="C290" s="1" t="s">
        <v>18</v>
      </c>
      <c r="D290" s="1" t="s">
        <v>44</v>
      </c>
      <c r="E290" s="1" t="s">
        <v>26</v>
      </c>
      <c r="F290" s="1">
        <v>369743</v>
      </c>
      <c r="G290" s="1">
        <v>64</v>
      </c>
      <c r="H290" s="1">
        <v>330</v>
      </c>
      <c r="I290" s="1">
        <v>1.1499999999999999</v>
      </c>
      <c r="J290" s="1">
        <v>118062</v>
      </c>
      <c r="K290" s="1">
        <v>65355</v>
      </c>
      <c r="L290" s="1">
        <v>24.7</v>
      </c>
      <c r="M290" s="1" t="s">
        <v>21</v>
      </c>
      <c r="N290" s="1">
        <v>63.9</v>
      </c>
      <c r="O290" s="1">
        <v>108</v>
      </c>
      <c r="P290" s="1">
        <v>2026</v>
      </c>
    </row>
    <row r="291" spans="1:16" x14ac:dyDescent="0.2">
      <c r="A291" s="1" t="s">
        <v>335</v>
      </c>
      <c r="B291" s="1" t="s">
        <v>17</v>
      </c>
      <c r="C291" s="1" t="s">
        <v>18</v>
      </c>
      <c r="D291" s="1" t="s">
        <v>19</v>
      </c>
      <c r="E291" s="1" t="s">
        <v>26</v>
      </c>
      <c r="F291" s="1">
        <v>174631</v>
      </c>
      <c r="G291" s="1">
        <v>53</v>
      </c>
      <c r="H291" s="1">
        <v>377</v>
      </c>
      <c r="I291" s="1">
        <v>2.12</v>
      </c>
      <c r="J291" s="1">
        <v>199733</v>
      </c>
      <c r="K291" s="1">
        <v>51692</v>
      </c>
      <c r="L291" s="1">
        <v>15.6</v>
      </c>
      <c r="M291" s="1" t="s">
        <v>21</v>
      </c>
      <c r="N291" s="1">
        <v>37.799999999999997</v>
      </c>
      <c r="O291" s="1">
        <v>109.3</v>
      </c>
      <c r="P291" s="1">
        <v>2026</v>
      </c>
    </row>
    <row r="292" spans="1:16" x14ac:dyDescent="0.2">
      <c r="A292" s="1" t="s">
        <v>336</v>
      </c>
      <c r="B292" s="1" t="s">
        <v>40</v>
      </c>
      <c r="C292" s="1" t="s">
        <v>41</v>
      </c>
      <c r="D292" s="1" t="s">
        <v>44</v>
      </c>
      <c r="E292" s="1" t="s">
        <v>20</v>
      </c>
      <c r="F292" s="1">
        <v>516580</v>
      </c>
      <c r="G292" s="1">
        <v>109</v>
      </c>
      <c r="H292" s="1">
        <v>560</v>
      </c>
      <c r="I292" s="1">
        <v>1.63</v>
      </c>
      <c r="J292" s="1">
        <v>13536</v>
      </c>
      <c r="K292" s="1">
        <v>42837</v>
      </c>
      <c r="L292" s="1">
        <v>13.2</v>
      </c>
      <c r="M292" s="1" t="s">
        <v>21</v>
      </c>
      <c r="N292" s="1">
        <v>59</v>
      </c>
      <c r="O292" s="1">
        <v>294.89999999999998</v>
      </c>
      <c r="P292" s="1">
        <v>2026</v>
      </c>
    </row>
    <row r="293" spans="1:16" ht="27.75" x14ac:dyDescent="0.2">
      <c r="A293" s="1" t="s">
        <v>337</v>
      </c>
      <c r="B293" s="1" t="s">
        <v>23</v>
      </c>
      <c r="C293" s="1" t="s">
        <v>24</v>
      </c>
      <c r="D293" s="1" t="s">
        <v>48</v>
      </c>
      <c r="E293" s="1" t="s">
        <v>34</v>
      </c>
      <c r="F293" s="1">
        <v>408062</v>
      </c>
      <c r="G293" s="1">
        <v>113</v>
      </c>
      <c r="H293" s="1">
        <v>622</v>
      </c>
      <c r="I293" s="1">
        <v>2.61</v>
      </c>
      <c r="J293" s="1">
        <v>32128</v>
      </c>
      <c r="K293" s="1">
        <v>60303</v>
      </c>
      <c r="L293" s="1">
        <v>19.100000000000001</v>
      </c>
      <c r="M293" s="1" t="s">
        <v>21</v>
      </c>
      <c r="N293" s="1">
        <v>32.200000000000003</v>
      </c>
      <c r="O293" s="1">
        <v>141</v>
      </c>
      <c r="P293" s="1">
        <v>2026</v>
      </c>
    </row>
    <row r="294" spans="1:16" x14ac:dyDescent="0.2">
      <c r="A294" s="1" t="s">
        <v>338</v>
      </c>
      <c r="B294" s="1" t="s">
        <v>17</v>
      </c>
      <c r="C294" s="1" t="s">
        <v>18</v>
      </c>
      <c r="D294" s="1" t="s">
        <v>37</v>
      </c>
      <c r="E294" s="1" t="s">
        <v>26</v>
      </c>
      <c r="F294" s="1">
        <v>51904</v>
      </c>
      <c r="G294" s="1">
        <v>59</v>
      </c>
      <c r="H294" s="1">
        <v>549</v>
      </c>
      <c r="I294" s="1">
        <v>2.81</v>
      </c>
      <c r="J294" s="1">
        <v>14006</v>
      </c>
      <c r="K294" s="1">
        <v>66234</v>
      </c>
      <c r="L294" s="1">
        <v>17</v>
      </c>
      <c r="M294" s="1" t="s">
        <v>35</v>
      </c>
      <c r="N294" s="1">
        <v>13.3</v>
      </c>
      <c r="O294" s="1">
        <v>152.69999999999999</v>
      </c>
      <c r="P294" s="1">
        <v>2026</v>
      </c>
    </row>
    <row r="295" spans="1:16" ht="27.75" x14ac:dyDescent="0.2">
      <c r="A295" s="1" t="s">
        <v>339</v>
      </c>
      <c r="B295" s="1" t="s">
        <v>50</v>
      </c>
      <c r="C295" s="1" t="s">
        <v>24</v>
      </c>
      <c r="D295" s="1" t="s">
        <v>46</v>
      </c>
      <c r="E295" s="1" t="s">
        <v>34</v>
      </c>
      <c r="F295" s="1">
        <v>736287</v>
      </c>
      <c r="G295" s="1">
        <v>112</v>
      </c>
      <c r="H295" s="1">
        <v>650</v>
      </c>
      <c r="I295" s="1">
        <v>2.4500000000000002</v>
      </c>
      <c r="J295" s="1">
        <v>114596</v>
      </c>
      <c r="K295" s="1">
        <v>76756</v>
      </c>
      <c r="L295" s="1">
        <v>20.7</v>
      </c>
      <c r="M295" s="1" t="s">
        <v>21</v>
      </c>
      <c r="N295" s="1">
        <v>29.9</v>
      </c>
      <c r="O295" s="1">
        <v>136.69999999999999</v>
      </c>
      <c r="P295" s="1">
        <v>2026</v>
      </c>
    </row>
    <row r="296" spans="1:16" x14ac:dyDescent="0.2">
      <c r="A296" s="1" t="s">
        <v>340</v>
      </c>
      <c r="B296" s="1" t="s">
        <v>17</v>
      </c>
      <c r="C296" s="1" t="s">
        <v>18</v>
      </c>
      <c r="D296" s="1" t="s">
        <v>48</v>
      </c>
      <c r="E296" s="1" t="s">
        <v>20</v>
      </c>
      <c r="F296" s="1">
        <v>512187</v>
      </c>
      <c r="G296" s="1">
        <v>120</v>
      </c>
      <c r="H296" s="1">
        <v>374</v>
      </c>
      <c r="I296" s="1">
        <v>2.85</v>
      </c>
      <c r="J296" s="1">
        <v>16724</v>
      </c>
      <c r="K296" s="1">
        <v>48204</v>
      </c>
      <c r="L296" s="1">
        <v>16</v>
      </c>
      <c r="M296" s="1" t="s">
        <v>21</v>
      </c>
      <c r="N296" s="1">
        <v>22.7</v>
      </c>
      <c r="O296" s="1">
        <v>220.4</v>
      </c>
      <c r="P296" s="1">
        <v>2026</v>
      </c>
    </row>
    <row r="297" spans="1:16" x14ac:dyDescent="0.2">
      <c r="A297" s="1" t="s">
        <v>341</v>
      </c>
      <c r="B297" s="1" t="s">
        <v>56</v>
      </c>
      <c r="C297" s="1" t="s">
        <v>41</v>
      </c>
      <c r="D297" s="1" t="s">
        <v>46</v>
      </c>
      <c r="E297" s="1" t="s">
        <v>20</v>
      </c>
      <c r="F297" s="1">
        <v>105055</v>
      </c>
      <c r="G297" s="1">
        <v>56</v>
      </c>
      <c r="H297" s="1">
        <v>589</v>
      </c>
      <c r="I297" s="1">
        <v>1.8</v>
      </c>
      <c r="J297" s="1">
        <v>93986</v>
      </c>
      <c r="K297" s="1">
        <v>54875</v>
      </c>
      <c r="L297" s="1">
        <v>14.4</v>
      </c>
      <c r="M297" s="1" t="s">
        <v>35</v>
      </c>
      <c r="N297" s="1">
        <v>40.700000000000003</v>
      </c>
      <c r="O297" s="1">
        <v>133.1</v>
      </c>
      <c r="P297" s="1">
        <v>2026</v>
      </c>
    </row>
    <row r="298" spans="1:16" x14ac:dyDescent="0.2">
      <c r="A298" s="1" t="s">
        <v>342</v>
      </c>
      <c r="B298" s="1" t="s">
        <v>56</v>
      </c>
      <c r="C298" s="1" t="s">
        <v>41</v>
      </c>
      <c r="D298" s="1" t="s">
        <v>59</v>
      </c>
      <c r="E298" s="1" t="s">
        <v>38</v>
      </c>
      <c r="F298" s="1">
        <v>380098</v>
      </c>
      <c r="G298" s="1">
        <v>84</v>
      </c>
      <c r="H298" s="1">
        <v>316</v>
      </c>
      <c r="I298" s="1">
        <v>2.16</v>
      </c>
      <c r="J298" s="1">
        <v>96679</v>
      </c>
      <c r="K298" s="1">
        <v>48590</v>
      </c>
      <c r="L298" s="1">
        <v>20.9</v>
      </c>
      <c r="M298" s="1" t="s">
        <v>21</v>
      </c>
      <c r="N298" s="1">
        <v>27.3</v>
      </c>
      <c r="O298" s="1">
        <v>56.6</v>
      </c>
      <c r="P298" s="1">
        <v>2026</v>
      </c>
    </row>
    <row r="299" spans="1:16" x14ac:dyDescent="0.2">
      <c r="A299" s="1" t="s">
        <v>343</v>
      </c>
      <c r="B299" s="1" t="s">
        <v>56</v>
      </c>
      <c r="C299" s="1" t="s">
        <v>41</v>
      </c>
      <c r="D299" s="1" t="s">
        <v>32</v>
      </c>
      <c r="E299" s="1" t="s">
        <v>26</v>
      </c>
      <c r="F299" s="1">
        <v>829343</v>
      </c>
      <c r="G299" s="1">
        <v>64</v>
      </c>
      <c r="H299" s="1">
        <v>505</v>
      </c>
      <c r="I299" s="1">
        <v>1.92</v>
      </c>
      <c r="J299" s="1">
        <v>146488</v>
      </c>
      <c r="K299" s="1">
        <v>41013</v>
      </c>
      <c r="L299" s="1">
        <v>19.100000000000001</v>
      </c>
      <c r="M299" s="1" t="s">
        <v>35</v>
      </c>
      <c r="N299" s="1">
        <v>49.5</v>
      </c>
      <c r="O299" s="1">
        <v>108.4</v>
      </c>
      <c r="P299" s="1">
        <v>2026</v>
      </c>
    </row>
    <row r="300" spans="1:16" x14ac:dyDescent="0.2">
      <c r="A300" s="1" t="s">
        <v>344</v>
      </c>
      <c r="B300" s="1" t="s">
        <v>17</v>
      </c>
      <c r="C300" s="1" t="s">
        <v>18</v>
      </c>
      <c r="D300" s="1" t="s">
        <v>19</v>
      </c>
      <c r="E300" s="1" t="s">
        <v>34</v>
      </c>
      <c r="F300" s="1">
        <v>388429</v>
      </c>
      <c r="G300" s="1">
        <v>110</v>
      </c>
      <c r="H300" s="1">
        <v>508</v>
      </c>
      <c r="I300" s="1">
        <v>1.86</v>
      </c>
      <c r="J300" s="1">
        <v>143991</v>
      </c>
      <c r="K300" s="1">
        <v>69043</v>
      </c>
      <c r="L300" s="1">
        <v>21.6</v>
      </c>
      <c r="M300" s="1" t="s">
        <v>21</v>
      </c>
      <c r="N300" s="1">
        <v>15.2</v>
      </c>
      <c r="O300" s="1">
        <v>86.9</v>
      </c>
      <c r="P300" s="1">
        <v>2026</v>
      </c>
    </row>
    <row r="301" spans="1:16" ht="27.75" x14ac:dyDescent="0.2">
      <c r="A301" s="1" t="s">
        <v>345</v>
      </c>
      <c r="B301" s="1" t="s">
        <v>23</v>
      </c>
      <c r="C301" s="1" t="s">
        <v>24</v>
      </c>
      <c r="D301" s="1" t="s">
        <v>25</v>
      </c>
      <c r="E301" s="1" t="s">
        <v>38</v>
      </c>
      <c r="F301" s="1">
        <v>347120</v>
      </c>
      <c r="G301" s="1">
        <v>41</v>
      </c>
      <c r="H301" s="1">
        <v>640</v>
      </c>
      <c r="I301" s="1">
        <v>1.58</v>
      </c>
      <c r="J301" s="1">
        <v>98768</v>
      </c>
      <c r="K301" s="1">
        <v>46493</v>
      </c>
      <c r="L301" s="1">
        <v>16.100000000000001</v>
      </c>
      <c r="M301" s="1" t="s">
        <v>35</v>
      </c>
      <c r="N301" s="1">
        <v>26.7</v>
      </c>
      <c r="O301" s="1">
        <v>51.3</v>
      </c>
      <c r="P301" s="1">
        <v>2026</v>
      </c>
    </row>
    <row r="302" spans="1:16" x14ac:dyDescent="0.2">
      <c r="A302" s="1" t="s">
        <v>346</v>
      </c>
      <c r="B302" s="1" t="s">
        <v>56</v>
      </c>
      <c r="C302" s="1" t="s">
        <v>41</v>
      </c>
      <c r="D302" s="1" t="s">
        <v>32</v>
      </c>
      <c r="E302" s="1" t="s">
        <v>26</v>
      </c>
      <c r="F302" s="1">
        <v>528352</v>
      </c>
      <c r="G302" s="1">
        <v>46</v>
      </c>
      <c r="H302" s="1">
        <v>520</v>
      </c>
      <c r="I302" s="1">
        <v>2.33</v>
      </c>
      <c r="J302" s="1">
        <v>50698</v>
      </c>
      <c r="K302" s="1">
        <v>81786</v>
      </c>
      <c r="L302" s="1">
        <v>24.3</v>
      </c>
      <c r="M302" s="1" t="s">
        <v>21</v>
      </c>
      <c r="N302" s="1">
        <v>24.5</v>
      </c>
      <c r="O302" s="1">
        <v>156.69999999999999</v>
      </c>
      <c r="P302" s="1">
        <v>2026</v>
      </c>
    </row>
    <row r="303" spans="1:16" x14ac:dyDescent="0.2">
      <c r="A303" s="1" t="s">
        <v>347</v>
      </c>
      <c r="B303" s="1" t="s">
        <v>56</v>
      </c>
      <c r="C303" s="1" t="s">
        <v>41</v>
      </c>
      <c r="D303" s="1" t="s">
        <v>48</v>
      </c>
      <c r="E303" s="1" t="s">
        <v>20</v>
      </c>
      <c r="F303" s="1">
        <v>689653</v>
      </c>
      <c r="G303" s="1">
        <v>54</v>
      </c>
      <c r="H303" s="1">
        <v>315</v>
      </c>
      <c r="I303" s="1">
        <v>2.4500000000000002</v>
      </c>
      <c r="J303" s="1">
        <v>192099</v>
      </c>
      <c r="K303" s="1">
        <v>53795</v>
      </c>
      <c r="L303" s="1">
        <v>12.5</v>
      </c>
      <c r="M303" s="1" t="s">
        <v>21</v>
      </c>
      <c r="N303" s="1">
        <v>29</v>
      </c>
      <c r="O303" s="1">
        <v>204.3</v>
      </c>
      <c r="P303" s="1">
        <v>2026</v>
      </c>
    </row>
    <row r="304" spans="1:16" x14ac:dyDescent="0.2">
      <c r="A304" s="1" t="s">
        <v>348</v>
      </c>
      <c r="B304" s="1" t="s">
        <v>40</v>
      </c>
      <c r="C304" s="1" t="s">
        <v>41</v>
      </c>
      <c r="D304" s="1" t="s">
        <v>32</v>
      </c>
      <c r="E304" s="1" t="s">
        <v>34</v>
      </c>
      <c r="F304" s="1">
        <v>320827</v>
      </c>
      <c r="G304" s="1">
        <v>60</v>
      </c>
      <c r="H304" s="1">
        <v>390</v>
      </c>
      <c r="I304" s="1">
        <v>2.4300000000000002</v>
      </c>
      <c r="J304" s="1">
        <v>32361</v>
      </c>
      <c r="K304" s="1">
        <v>57074</v>
      </c>
      <c r="L304" s="1">
        <v>22.2</v>
      </c>
      <c r="M304" s="1" t="s">
        <v>35</v>
      </c>
      <c r="N304" s="1">
        <v>9.4</v>
      </c>
      <c r="O304" s="1">
        <v>25.5</v>
      </c>
      <c r="P304" s="1">
        <v>2026</v>
      </c>
    </row>
    <row r="305" spans="1:16" x14ac:dyDescent="0.2">
      <c r="A305" s="1" t="s">
        <v>349</v>
      </c>
      <c r="B305" s="1" t="s">
        <v>43</v>
      </c>
      <c r="C305" s="1" t="s">
        <v>18</v>
      </c>
      <c r="D305" s="1" t="s">
        <v>48</v>
      </c>
      <c r="E305" s="1" t="s">
        <v>34</v>
      </c>
      <c r="F305" s="1">
        <v>139291</v>
      </c>
      <c r="G305" s="1">
        <v>57</v>
      </c>
      <c r="H305" s="1">
        <v>531</v>
      </c>
      <c r="I305" s="1">
        <v>1.5</v>
      </c>
      <c r="J305" s="1">
        <v>146366</v>
      </c>
      <c r="K305" s="1">
        <v>63161</v>
      </c>
      <c r="L305" s="1">
        <v>22.4</v>
      </c>
      <c r="M305" s="1" t="s">
        <v>21</v>
      </c>
      <c r="N305" s="1">
        <v>36.6</v>
      </c>
      <c r="O305" s="1">
        <v>145.5</v>
      </c>
      <c r="P305" s="1">
        <v>2026</v>
      </c>
    </row>
    <row r="306" spans="1:16" x14ac:dyDescent="0.2">
      <c r="A306" s="1" t="s">
        <v>350</v>
      </c>
      <c r="B306" s="1" t="s">
        <v>28</v>
      </c>
      <c r="C306" s="1" t="s">
        <v>29</v>
      </c>
      <c r="D306" s="1" t="s">
        <v>44</v>
      </c>
      <c r="E306" s="1" t="s">
        <v>34</v>
      </c>
      <c r="F306" s="1">
        <v>242604</v>
      </c>
      <c r="G306" s="1">
        <v>44</v>
      </c>
      <c r="H306" s="1">
        <v>317</v>
      </c>
      <c r="I306" s="1">
        <v>1.18</v>
      </c>
      <c r="J306" s="1">
        <v>142869</v>
      </c>
      <c r="K306" s="1">
        <v>81843</v>
      </c>
      <c r="L306" s="1">
        <v>22.9</v>
      </c>
      <c r="M306" s="1" t="s">
        <v>35</v>
      </c>
      <c r="N306" s="1">
        <v>51</v>
      </c>
      <c r="O306" s="1">
        <v>293.8</v>
      </c>
      <c r="P306" s="1">
        <v>2026</v>
      </c>
    </row>
    <row r="307" spans="1:16" x14ac:dyDescent="0.2">
      <c r="A307" s="1" t="s">
        <v>351</v>
      </c>
      <c r="B307" s="1" t="s">
        <v>43</v>
      </c>
      <c r="C307" s="1" t="s">
        <v>18</v>
      </c>
      <c r="D307" s="1" t="s">
        <v>48</v>
      </c>
      <c r="E307" s="1" t="s">
        <v>20</v>
      </c>
      <c r="F307" s="1">
        <v>27418</v>
      </c>
      <c r="G307" s="1">
        <v>47</v>
      </c>
      <c r="H307" s="1">
        <v>425</v>
      </c>
      <c r="I307" s="1">
        <v>1.96</v>
      </c>
      <c r="J307" s="1">
        <v>55165</v>
      </c>
      <c r="K307" s="1">
        <v>79357</v>
      </c>
      <c r="L307" s="1">
        <v>17.8</v>
      </c>
      <c r="M307" s="1" t="s">
        <v>35</v>
      </c>
      <c r="N307" s="1">
        <v>34.9</v>
      </c>
      <c r="O307" s="1">
        <v>120</v>
      </c>
      <c r="P307" s="1">
        <v>2026</v>
      </c>
    </row>
    <row r="308" spans="1:16" x14ac:dyDescent="0.2">
      <c r="A308" s="1" t="s">
        <v>352</v>
      </c>
      <c r="B308" s="1" t="s">
        <v>56</v>
      </c>
      <c r="C308" s="1" t="s">
        <v>41</v>
      </c>
      <c r="D308" s="1" t="s">
        <v>59</v>
      </c>
      <c r="E308" s="1" t="s">
        <v>34</v>
      </c>
      <c r="F308" s="1">
        <v>24555</v>
      </c>
      <c r="G308" s="1">
        <v>71</v>
      </c>
      <c r="H308" s="1">
        <v>428</v>
      </c>
      <c r="I308" s="1">
        <v>2.15</v>
      </c>
      <c r="J308" s="1">
        <v>74330</v>
      </c>
      <c r="K308" s="1">
        <v>80530</v>
      </c>
      <c r="L308" s="1">
        <v>13.1</v>
      </c>
      <c r="M308" s="1" t="s">
        <v>21</v>
      </c>
      <c r="N308" s="1">
        <v>46.6</v>
      </c>
      <c r="O308" s="1">
        <v>226.5</v>
      </c>
      <c r="P308" s="1">
        <v>2026</v>
      </c>
    </row>
    <row r="309" spans="1:16" x14ac:dyDescent="0.2">
      <c r="A309" s="1" t="s">
        <v>353</v>
      </c>
      <c r="B309" s="1" t="s">
        <v>56</v>
      </c>
      <c r="C309" s="1" t="s">
        <v>41</v>
      </c>
      <c r="D309" s="1" t="s">
        <v>30</v>
      </c>
      <c r="E309" s="1" t="s">
        <v>20</v>
      </c>
      <c r="F309" s="1">
        <v>72247</v>
      </c>
      <c r="G309" s="1">
        <v>120</v>
      </c>
      <c r="H309" s="1">
        <v>394</v>
      </c>
      <c r="I309" s="1">
        <v>2.3199999999999998</v>
      </c>
      <c r="J309" s="1">
        <v>193565</v>
      </c>
      <c r="K309" s="1">
        <v>60102</v>
      </c>
      <c r="L309" s="1">
        <v>19.399999999999999</v>
      </c>
      <c r="M309" s="1" t="s">
        <v>21</v>
      </c>
      <c r="N309" s="1">
        <v>46</v>
      </c>
      <c r="O309" s="1">
        <v>45.8</v>
      </c>
      <c r="P309" s="1">
        <v>2026</v>
      </c>
    </row>
    <row r="310" spans="1:16" x14ac:dyDescent="0.2">
      <c r="A310" s="1" t="s">
        <v>354</v>
      </c>
      <c r="B310" s="1" t="s">
        <v>40</v>
      </c>
      <c r="C310" s="1" t="s">
        <v>41</v>
      </c>
      <c r="D310" s="1" t="s">
        <v>37</v>
      </c>
      <c r="E310" s="1" t="s">
        <v>20</v>
      </c>
      <c r="F310" s="1">
        <v>357137</v>
      </c>
      <c r="G310" s="1">
        <v>76</v>
      </c>
      <c r="H310" s="1">
        <v>264</v>
      </c>
      <c r="I310" s="1">
        <v>2.3199999999999998</v>
      </c>
      <c r="J310" s="1">
        <v>52507</v>
      </c>
      <c r="K310" s="1">
        <v>36047</v>
      </c>
      <c r="L310" s="1">
        <v>12.9</v>
      </c>
      <c r="M310" s="1" t="s">
        <v>35</v>
      </c>
      <c r="N310" s="1">
        <v>37</v>
      </c>
      <c r="O310" s="1">
        <v>100.6</v>
      </c>
      <c r="P310" s="1">
        <v>2026</v>
      </c>
    </row>
    <row r="311" spans="1:16" ht="27.75" x14ac:dyDescent="0.2">
      <c r="A311" s="1" t="s">
        <v>355</v>
      </c>
      <c r="B311" s="1" t="s">
        <v>50</v>
      </c>
      <c r="C311" s="1" t="s">
        <v>24</v>
      </c>
      <c r="D311" s="1" t="s">
        <v>73</v>
      </c>
      <c r="E311" s="1" t="s">
        <v>20</v>
      </c>
      <c r="F311" s="1">
        <v>298116</v>
      </c>
      <c r="G311" s="1">
        <v>50</v>
      </c>
      <c r="H311" s="1">
        <v>554</v>
      </c>
      <c r="I311" s="1">
        <v>1.05</v>
      </c>
      <c r="J311" s="1">
        <v>70642</v>
      </c>
      <c r="K311" s="1">
        <v>57435</v>
      </c>
      <c r="L311" s="1">
        <v>24.6</v>
      </c>
      <c r="M311" s="1" t="s">
        <v>21</v>
      </c>
      <c r="N311" s="1">
        <v>57.3</v>
      </c>
      <c r="O311" s="1">
        <v>73.900000000000006</v>
      </c>
      <c r="P311" s="1">
        <v>2026</v>
      </c>
    </row>
    <row r="312" spans="1:16" x14ac:dyDescent="0.2">
      <c r="A312" s="1" t="s">
        <v>356</v>
      </c>
      <c r="B312" s="1" t="s">
        <v>28</v>
      </c>
      <c r="C312" s="1" t="s">
        <v>29</v>
      </c>
      <c r="D312" s="1" t="s">
        <v>44</v>
      </c>
      <c r="E312" s="1" t="s">
        <v>38</v>
      </c>
      <c r="F312" s="1">
        <v>674003</v>
      </c>
      <c r="G312" s="1">
        <v>75</v>
      </c>
      <c r="H312" s="1">
        <v>507</v>
      </c>
      <c r="I312" s="1">
        <v>0.6</v>
      </c>
      <c r="J312" s="1">
        <v>85311</v>
      </c>
      <c r="K312" s="1">
        <v>52243</v>
      </c>
      <c r="L312" s="1">
        <v>24.4</v>
      </c>
      <c r="M312" s="1" t="s">
        <v>21</v>
      </c>
      <c r="N312" s="1">
        <v>11.2</v>
      </c>
      <c r="O312" s="1">
        <v>170.1</v>
      </c>
      <c r="P312" s="1">
        <v>2026</v>
      </c>
    </row>
    <row r="313" spans="1:16" x14ac:dyDescent="0.2">
      <c r="A313" s="1" t="s">
        <v>357</v>
      </c>
      <c r="B313" s="1" t="s">
        <v>43</v>
      </c>
      <c r="C313" s="1" t="s">
        <v>18</v>
      </c>
      <c r="D313" s="1" t="s">
        <v>19</v>
      </c>
      <c r="E313" s="1" t="s">
        <v>34</v>
      </c>
      <c r="F313" s="1">
        <v>323315</v>
      </c>
      <c r="G313" s="1">
        <v>114</v>
      </c>
      <c r="H313" s="1">
        <v>252</v>
      </c>
      <c r="I313" s="1">
        <v>2.02</v>
      </c>
      <c r="J313" s="1">
        <v>138714</v>
      </c>
      <c r="K313" s="1">
        <v>71060</v>
      </c>
      <c r="L313" s="1">
        <v>14.3</v>
      </c>
      <c r="M313" s="1" t="s">
        <v>35</v>
      </c>
      <c r="N313" s="1">
        <v>47.4</v>
      </c>
      <c r="O313" s="1">
        <v>45.8</v>
      </c>
      <c r="P313" s="1">
        <v>2026</v>
      </c>
    </row>
    <row r="314" spans="1:16" ht="27.75" x14ac:dyDescent="0.2">
      <c r="A314" s="1" t="s">
        <v>358</v>
      </c>
      <c r="B314" s="1" t="s">
        <v>50</v>
      </c>
      <c r="C314" s="1" t="s">
        <v>24</v>
      </c>
      <c r="D314" s="1" t="s">
        <v>37</v>
      </c>
      <c r="E314" s="1" t="s">
        <v>26</v>
      </c>
      <c r="F314" s="1">
        <v>392665</v>
      </c>
      <c r="G314" s="1">
        <v>49</v>
      </c>
      <c r="H314" s="1">
        <v>411</v>
      </c>
      <c r="I314" s="1">
        <v>0.85</v>
      </c>
      <c r="J314" s="1">
        <v>8575</v>
      </c>
      <c r="K314" s="1">
        <v>30928</v>
      </c>
      <c r="L314" s="1">
        <v>17.899999999999999</v>
      </c>
      <c r="M314" s="1" t="s">
        <v>21</v>
      </c>
      <c r="N314" s="1">
        <v>21.7</v>
      </c>
      <c r="O314" s="1">
        <v>115</v>
      </c>
      <c r="P314" s="1">
        <v>2026</v>
      </c>
    </row>
    <row r="315" spans="1:16" ht="27.75" x14ac:dyDescent="0.2">
      <c r="A315" s="1" t="s">
        <v>359</v>
      </c>
      <c r="B315" s="1" t="s">
        <v>62</v>
      </c>
      <c r="C315" s="1" t="s">
        <v>41</v>
      </c>
      <c r="D315" s="1" t="s">
        <v>48</v>
      </c>
      <c r="E315" s="1" t="s">
        <v>20</v>
      </c>
      <c r="F315" s="1">
        <v>174463</v>
      </c>
      <c r="G315" s="1">
        <v>72</v>
      </c>
      <c r="H315" s="1">
        <v>593</v>
      </c>
      <c r="I315" s="1">
        <v>0.65</v>
      </c>
      <c r="J315" s="1">
        <v>191427</v>
      </c>
      <c r="K315" s="1">
        <v>50621</v>
      </c>
      <c r="L315" s="1">
        <v>18.899999999999999</v>
      </c>
      <c r="M315" s="1" t="s">
        <v>35</v>
      </c>
      <c r="N315" s="1">
        <v>32.9</v>
      </c>
      <c r="O315" s="1">
        <v>7.1</v>
      </c>
      <c r="P315" s="1">
        <v>2026</v>
      </c>
    </row>
    <row r="316" spans="1:16" x14ac:dyDescent="0.2">
      <c r="A316" s="1" t="s">
        <v>360</v>
      </c>
      <c r="B316" s="1" t="s">
        <v>43</v>
      </c>
      <c r="C316" s="1" t="s">
        <v>18</v>
      </c>
      <c r="D316" s="1" t="s">
        <v>19</v>
      </c>
      <c r="E316" s="1" t="s">
        <v>38</v>
      </c>
      <c r="F316" s="1">
        <v>425517</v>
      </c>
      <c r="G316" s="1">
        <v>73</v>
      </c>
      <c r="H316" s="1">
        <v>510</v>
      </c>
      <c r="I316" s="1">
        <v>2.71</v>
      </c>
      <c r="J316" s="1">
        <v>186024</v>
      </c>
      <c r="K316" s="1">
        <v>56122</v>
      </c>
      <c r="L316" s="1">
        <v>12.8</v>
      </c>
      <c r="M316" s="1" t="s">
        <v>35</v>
      </c>
      <c r="N316" s="1">
        <v>22.2</v>
      </c>
      <c r="O316" s="1">
        <v>79.2</v>
      </c>
      <c r="P316" s="1">
        <v>2026</v>
      </c>
    </row>
    <row r="317" spans="1:16" x14ac:dyDescent="0.2">
      <c r="A317" s="1" t="s">
        <v>361</v>
      </c>
      <c r="B317" s="1" t="s">
        <v>28</v>
      </c>
      <c r="C317" s="1" t="s">
        <v>29</v>
      </c>
      <c r="D317" s="1" t="s">
        <v>46</v>
      </c>
      <c r="E317" s="1" t="s">
        <v>20</v>
      </c>
      <c r="F317" s="1">
        <v>519312</v>
      </c>
      <c r="G317" s="1">
        <v>76</v>
      </c>
      <c r="H317" s="1">
        <v>596</v>
      </c>
      <c r="I317" s="1">
        <v>2.2400000000000002</v>
      </c>
      <c r="J317" s="1">
        <v>47425</v>
      </c>
      <c r="K317" s="1">
        <v>25221</v>
      </c>
      <c r="L317" s="1">
        <v>18.3</v>
      </c>
      <c r="M317" s="1" t="s">
        <v>35</v>
      </c>
      <c r="N317" s="1">
        <v>34.200000000000003</v>
      </c>
      <c r="O317" s="1">
        <v>126.2</v>
      </c>
      <c r="P317" s="1">
        <v>2026</v>
      </c>
    </row>
    <row r="318" spans="1:16" x14ac:dyDescent="0.2">
      <c r="A318" s="1" t="s">
        <v>362</v>
      </c>
      <c r="B318" s="1" t="s">
        <v>40</v>
      </c>
      <c r="C318" s="1" t="s">
        <v>41</v>
      </c>
      <c r="D318" s="1" t="s">
        <v>30</v>
      </c>
      <c r="E318" s="1" t="s">
        <v>26</v>
      </c>
      <c r="F318" s="1">
        <v>34516</v>
      </c>
      <c r="G318" s="1">
        <v>104</v>
      </c>
      <c r="H318" s="1">
        <v>648</v>
      </c>
      <c r="I318" s="1">
        <v>2.27</v>
      </c>
      <c r="J318" s="1">
        <v>74677</v>
      </c>
      <c r="K318" s="1">
        <v>34458</v>
      </c>
      <c r="L318" s="1">
        <v>20.3</v>
      </c>
      <c r="M318" s="1" t="s">
        <v>35</v>
      </c>
      <c r="N318" s="1">
        <v>47.5</v>
      </c>
      <c r="O318" s="1">
        <v>195</v>
      </c>
      <c r="P318" s="1">
        <v>2026</v>
      </c>
    </row>
    <row r="319" spans="1:16" x14ac:dyDescent="0.2">
      <c r="A319" s="1" t="s">
        <v>363</v>
      </c>
      <c r="B319" s="1" t="s">
        <v>43</v>
      </c>
      <c r="C319" s="1" t="s">
        <v>18</v>
      </c>
      <c r="D319" s="1" t="s">
        <v>44</v>
      </c>
      <c r="E319" s="1" t="s">
        <v>20</v>
      </c>
      <c r="F319" s="1">
        <v>800291</v>
      </c>
      <c r="G319" s="1">
        <v>70</v>
      </c>
      <c r="H319" s="1">
        <v>574</v>
      </c>
      <c r="I319" s="1">
        <v>0.72</v>
      </c>
      <c r="J319" s="1">
        <v>193309</v>
      </c>
      <c r="K319" s="1">
        <v>57439</v>
      </c>
      <c r="L319" s="1">
        <v>24.9</v>
      </c>
      <c r="M319" s="1" t="s">
        <v>35</v>
      </c>
      <c r="N319" s="1">
        <v>13.1</v>
      </c>
      <c r="O319" s="1">
        <v>57.8</v>
      </c>
      <c r="P319" s="1">
        <v>2026</v>
      </c>
    </row>
    <row r="320" spans="1:16" x14ac:dyDescent="0.2">
      <c r="A320" s="1" t="s">
        <v>364</v>
      </c>
      <c r="B320" s="1" t="s">
        <v>67</v>
      </c>
      <c r="C320" s="1" t="s">
        <v>18</v>
      </c>
      <c r="D320" s="1" t="s">
        <v>32</v>
      </c>
      <c r="E320" s="1" t="s">
        <v>20</v>
      </c>
      <c r="F320" s="1">
        <v>157939</v>
      </c>
      <c r="G320" s="1">
        <v>44</v>
      </c>
      <c r="H320" s="1">
        <v>600</v>
      </c>
      <c r="I320" s="1">
        <v>1.1599999999999999</v>
      </c>
      <c r="J320" s="1">
        <v>97550</v>
      </c>
      <c r="K320" s="1">
        <v>47039</v>
      </c>
      <c r="L320" s="1">
        <v>22.5</v>
      </c>
      <c r="M320" s="1" t="s">
        <v>21</v>
      </c>
      <c r="N320" s="1">
        <v>42.4</v>
      </c>
      <c r="O320" s="1">
        <v>299.5</v>
      </c>
      <c r="P320" s="1">
        <v>2026</v>
      </c>
    </row>
    <row r="321" spans="1:16" x14ac:dyDescent="0.2">
      <c r="A321" s="1" t="s">
        <v>365</v>
      </c>
      <c r="B321" s="1" t="s">
        <v>67</v>
      </c>
      <c r="C321" s="1" t="s">
        <v>18</v>
      </c>
      <c r="D321" s="1" t="s">
        <v>19</v>
      </c>
      <c r="E321" s="1" t="s">
        <v>26</v>
      </c>
      <c r="F321" s="1">
        <v>518074</v>
      </c>
      <c r="G321" s="1">
        <v>113</v>
      </c>
      <c r="H321" s="1">
        <v>385</v>
      </c>
      <c r="I321" s="1">
        <v>0.57999999999999996</v>
      </c>
      <c r="J321" s="1">
        <v>37363</v>
      </c>
      <c r="K321" s="1">
        <v>46307</v>
      </c>
      <c r="L321" s="1">
        <v>19.2</v>
      </c>
      <c r="M321" s="1" t="s">
        <v>21</v>
      </c>
      <c r="N321" s="1">
        <v>51.9</v>
      </c>
      <c r="O321" s="1">
        <v>107.5</v>
      </c>
      <c r="P321" s="1">
        <v>2026</v>
      </c>
    </row>
    <row r="322" spans="1:16" x14ac:dyDescent="0.2">
      <c r="A322" s="1" t="s">
        <v>366</v>
      </c>
      <c r="B322" s="1" t="s">
        <v>17</v>
      </c>
      <c r="C322" s="1" t="s">
        <v>18</v>
      </c>
      <c r="D322" s="1" t="s">
        <v>25</v>
      </c>
      <c r="E322" s="1" t="s">
        <v>38</v>
      </c>
      <c r="F322" s="1">
        <v>106861</v>
      </c>
      <c r="G322" s="1">
        <v>62</v>
      </c>
      <c r="H322" s="1">
        <v>630</v>
      </c>
      <c r="I322" s="1">
        <v>2.66</v>
      </c>
      <c r="J322" s="1">
        <v>68885</v>
      </c>
      <c r="K322" s="1">
        <v>63686</v>
      </c>
      <c r="L322" s="1">
        <v>20.3</v>
      </c>
      <c r="M322" s="1" t="s">
        <v>35</v>
      </c>
      <c r="N322" s="1">
        <v>31</v>
      </c>
      <c r="O322" s="1">
        <v>63.7</v>
      </c>
      <c r="P322" s="1">
        <v>2026</v>
      </c>
    </row>
    <row r="323" spans="1:16" x14ac:dyDescent="0.2">
      <c r="A323" s="1" t="s">
        <v>367</v>
      </c>
      <c r="B323" s="1" t="s">
        <v>67</v>
      </c>
      <c r="C323" s="1" t="s">
        <v>18</v>
      </c>
      <c r="D323" s="1" t="s">
        <v>46</v>
      </c>
      <c r="E323" s="1" t="s">
        <v>38</v>
      </c>
      <c r="F323" s="1">
        <v>115229</v>
      </c>
      <c r="G323" s="1">
        <v>92</v>
      </c>
      <c r="H323" s="1">
        <v>592</v>
      </c>
      <c r="I323" s="1">
        <v>1.62</v>
      </c>
      <c r="J323" s="1">
        <v>84019</v>
      </c>
      <c r="K323" s="1">
        <v>77771</v>
      </c>
      <c r="L323" s="1">
        <v>16.7</v>
      </c>
      <c r="M323" s="1" t="s">
        <v>21</v>
      </c>
      <c r="N323" s="1">
        <v>5.7</v>
      </c>
      <c r="O323" s="1">
        <v>36.799999999999997</v>
      </c>
      <c r="P323" s="1">
        <v>2026</v>
      </c>
    </row>
    <row r="324" spans="1:16" x14ac:dyDescent="0.2">
      <c r="A324" s="1" t="s">
        <v>368</v>
      </c>
      <c r="B324" s="1" t="s">
        <v>17</v>
      </c>
      <c r="C324" s="1" t="s">
        <v>18</v>
      </c>
      <c r="D324" s="1" t="s">
        <v>73</v>
      </c>
      <c r="E324" s="1" t="s">
        <v>34</v>
      </c>
      <c r="F324" s="1">
        <v>514831</v>
      </c>
      <c r="G324" s="1">
        <v>46</v>
      </c>
      <c r="H324" s="1">
        <v>428</v>
      </c>
      <c r="I324" s="1">
        <v>2.14</v>
      </c>
      <c r="J324" s="1">
        <v>74687</v>
      </c>
      <c r="K324" s="1">
        <v>40296</v>
      </c>
      <c r="L324" s="1">
        <v>17.399999999999999</v>
      </c>
      <c r="M324" s="1" t="s">
        <v>35</v>
      </c>
      <c r="N324" s="1">
        <v>50.1</v>
      </c>
      <c r="O324" s="1">
        <v>188.3</v>
      </c>
      <c r="P324" s="1">
        <v>2026</v>
      </c>
    </row>
    <row r="325" spans="1:16" x14ac:dyDescent="0.2">
      <c r="A325" s="1" t="s">
        <v>369</v>
      </c>
      <c r="B325" s="1" t="s">
        <v>56</v>
      </c>
      <c r="C325" s="1" t="s">
        <v>41</v>
      </c>
      <c r="D325" s="1" t="s">
        <v>73</v>
      </c>
      <c r="E325" s="1" t="s">
        <v>34</v>
      </c>
      <c r="F325" s="1">
        <v>530068</v>
      </c>
      <c r="G325" s="1">
        <v>73</v>
      </c>
      <c r="H325" s="1">
        <v>392</v>
      </c>
      <c r="I325" s="1">
        <v>2.5299999999999998</v>
      </c>
      <c r="J325" s="1">
        <v>46733</v>
      </c>
      <c r="K325" s="1">
        <v>82514</v>
      </c>
      <c r="L325" s="1">
        <v>14</v>
      </c>
      <c r="M325" s="1" t="s">
        <v>35</v>
      </c>
      <c r="N325" s="1">
        <v>31.2</v>
      </c>
      <c r="O325" s="1">
        <v>82.4</v>
      </c>
      <c r="P325" s="1">
        <v>2026</v>
      </c>
    </row>
    <row r="326" spans="1:16" x14ac:dyDescent="0.2">
      <c r="A326" s="1" t="s">
        <v>370</v>
      </c>
      <c r="B326" s="1" t="s">
        <v>28</v>
      </c>
      <c r="C326" s="1" t="s">
        <v>29</v>
      </c>
      <c r="D326" s="1" t="s">
        <v>73</v>
      </c>
      <c r="E326" s="1" t="s">
        <v>34</v>
      </c>
      <c r="F326" s="1">
        <v>236985</v>
      </c>
      <c r="G326" s="1">
        <v>58</v>
      </c>
      <c r="H326" s="1">
        <v>569</v>
      </c>
      <c r="I326" s="1">
        <v>0.84</v>
      </c>
      <c r="J326" s="1">
        <v>2788</v>
      </c>
      <c r="K326" s="1">
        <v>64567</v>
      </c>
      <c r="L326" s="1">
        <v>23.9</v>
      </c>
      <c r="M326" s="1" t="s">
        <v>21</v>
      </c>
      <c r="N326" s="1">
        <v>64.8</v>
      </c>
      <c r="O326" s="1">
        <v>261</v>
      </c>
      <c r="P326" s="1">
        <v>2026</v>
      </c>
    </row>
    <row r="327" spans="1:16" x14ac:dyDescent="0.2">
      <c r="A327" s="1" t="s">
        <v>371</v>
      </c>
      <c r="B327" s="1" t="s">
        <v>56</v>
      </c>
      <c r="C327" s="1" t="s">
        <v>41</v>
      </c>
      <c r="D327" s="1" t="s">
        <v>37</v>
      </c>
      <c r="E327" s="1" t="s">
        <v>26</v>
      </c>
      <c r="F327" s="1">
        <v>868062</v>
      </c>
      <c r="G327" s="1">
        <v>51</v>
      </c>
      <c r="H327" s="1">
        <v>344</v>
      </c>
      <c r="I327" s="1">
        <v>1.66</v>
      </c>
      <c r="J327" s="1">
        <v>65095</v>
      </c>
      <c r="K327" s="1">
        <v>65466</v>
      </c>
      <c r="L327" s="1">
        <v>20</v>
      </c>
      <c r="M327" s="1" t="s">
        <v>21</v>
      </c>
      <c r="N327" s="1">
        <v>51.9</v>
      </c>
      <c r="O327" s="1">
        <v>182.4</v>
      </c>
      <c r="P327" s="1">
        <v>2026</v>
      </c>
    </row>
    <row r="328" spans="1:16" ht="27.75" x14ac:dyDescent="0.2">
      <c r="A328" s="1" t="s">
        <v>372</v>
      </c>
      <c r="B328" s="1" t="s">
        <v>62</v>
      </c>
      <c r="C328" s="1" t="s">
        <v>41</v>
      </c>
      <c r="D328" s="1" t="s">
        <v>32</v>
      </c>
      <c r="E328" s="1" t="s">
        <v>38</v>
      </c>
      <c r="F328" s="1">
        <v>15118</v>
      </c>
      <c r="G328" s="1">
        <v>81</v>
      </c>
      <c r="H328" s="1">
        <v>311</v>
      </c>
      <c r="I328" s="1">
        <v>1.44</v>
      </c>
      <c r="J328" s="1">
        <v>112342</v>
      </c>
      <c r="K328" s="1">
        <v>50417</v>
      </c>
      <c r="L328" s="1">
        <v>24.2</v>
      </c>
      <c r="M328" s="1" t="s">
        <v>35</v>
      </c>
      <c r="N328" s="1">
        <v>21.8</v>
      </c>
      <c r="O328" s="1">
        <v>166.6</v>
      </c>
      <c r="P328" s="1">
        <v>2026</v>
      </c>
    </row>
    <row r="329" spans="1:16" x14ac:dyDescent="0.2">
      <c r="A329" s="1" t="s">
        <v>373</v>
      </c>
      <c r="B329" s="1" t="s">
        <v>53</v>
      </c>
      <c r="C329" s="1" t="s">
        <v>41</v>
      </c>
      <c r="D329" s="1" t="s">
        <v>25</v>
      </c>
      <c r="E329" s="1" t="s">
        <v>26</v>
      </c>
      <c r="F329" s="1">
        <v>287759</v>
      </c>
      <c r="G329" s="1">
        <v>43</v>
      </c>
      <c r="H329" s="1">
        <v>458</v>
      </c>
      <c r="I329" s="1">
        <v>1.34</v>
      </c>
      <c r="J329" s="1">
        <v>130959</v>
      </c>
      <c r="K329" s="1">
        <v>45747</v>
      </c>
      <c r="L329" s="1">
        <v>16.3</v>
      </c>
      <c r="M329" s="1" t="s">
        <v>35</v>
      </c>
      <c r="N329" s="1">
        <v>11.6</v>
      </c>
      <c r="O329" s="1">
        <v>24.9</v>
      </c>
      <c r="P329" s="1">
        <v>2026</v>
      </c>
    </row>
    <row r="330" spans="1:16" ht="27.75" x14ac:dyDescent="0.2">
      <c r="A330" s="1" t="s">
        <v>374</v>
      </c>
      <c r="B330" s="1" t="s">
        <v>50</v>
      </c>
      <c r="C330" s="1" t="s">
        <v>24</v>
      </c>
      <c r="D330" s="1" t="s">
        <v>73</v>
      </c>
      <c r="E330" s="1" t="s">
        <v>20</v>
      </c>
      <c r="F330" s="1">
        <v>715324</v>
      </c>
      <c r="G330" s="1">
        <v>87</v>
      </c>
      <c r="H330" s="1">
        <v>320</v>
      </c>
      <c r="I330" s="1">
        <v>1.93</v>
      </c>
      <c r="J330" s="1">
        <v>72073</v>
      </c>
      <c r="K330" s="1">
        <v>59823</v>
      </c>
      <c r="L330" s="1">
        <v>18.3</v>
      </c>
      <c r="M330" s="1" t="s">
        <v>21</v>
      </c>
      <c r="N330" s="1">
        <v>45.1</v>
      </c>
      <c r="O330" s="1">
        <v>35.4</v>
      </c>
      <c r="P330" s="1">
        <v>2026</v>
      </c>
    </row>
    <row r="331" spans="1:16" x14ac:dyDescent="0.2">
      <c r="A331" s="1" t="s">
        <v>375</v>
      </c>
      <c r="B331" s="1" t="s">
        <v>67</v>
      </c>
      <c r="C331" s="1" t="s">
        <v>18</v>
      </c>
      <c r="D331" s="1" t="s">
        <v>44</v>
      </c>
      <c r="E331" s="1" t="s">
        <v>34</v>
      </c>
      <c r="F331" s="1">
        <v>728246</v>
      </c>
      <c r="G331" s="1">
        <v>89</v>
      </c>
      <c r="H331" s="1">
        <v>539</v>
      </c>
      <c r="I331" s="1">
        <v>1.47</v>
      </c>
      <c r="J331" s="1">
        <v>111224</v>
      </c>
      <c r="K331" s="1">
        <v>57987</v>
      </c>
      <c r="L331" s="1">
        <v>21.9</v>
      </c>
      <c r="M331" s="1" t="s">
        <v>35</v>
      </c>
      <c r="N331" s="1">
        <v>19.100000000000001</v>
      </c>
      <c r="O331" s="1">
        <v>226.2</v>
      </c>
      <c r="P331" s="1">
        <v>2026</v>
      </c>
    </row>
    <row r="332" spans="1:16" ht="27.75" x14ac:dyDescent="0.2">
      <c r="A332" s="1" t="s">
        <v>376</v>
      </c>
      <c r="B332" s="1" t="s">
        <v>62</v>
      </c>
      <c r="C332" s="1" t="s">
        <v>41</v>
      </c>
      <c r="D332" s="1" t="s">
        <v>44</v>
      </c>
      <c r="E332" s="1" t="s">
        <v>38</v>
      </c>
      <c r="F332" s="1">
        <v>289536</v>
      </c>
      <c r="G332" s="1">
        <v>93</v>
      </c>
      <c r="H332" s="1">
        <v>284</v>
      </c>
      <c r="I332" s="1">
        <v>1.54</v>
      </c>
      <c r="J332" s="1">
        <v>58879</v>
      </c>
      <c r="K332" s="1">
        <v>28810</v>
      </c>
      <c r="L332" s="1">
        <v>19.399999999999999</v>
      </c>
      <c r="M332" s="1" t="s">
        <v>21</v>
      </c>
      <c r="N332" s="1">
        <v>12.9</v>
      </c>
      <c r="O332" s="1">
        <v>129.9</v>
      </c>
      <c r="P332" s="1">
        <v>2026</v>
      </c>
    </row>
    <row r="333" spans="1:16" ht="27.75" x14ac:dyDescent="0.2">
      <c r="A333" s="1" t="s">
        <v>377</v>
      </c>
      <c r="B333" s="1" t="s">
        <v>23</v>
      </c>
      <c r="C333" s="1" t="s">
        <v>24</v>
      </c>
      <c r="D333" s="1" t="s">
        <v>59</v>
      </c>
      <c r="E333" s="1" t="s">
        <v>38</v>
      </c>
      <c r="F333" s="1">
        <v>501538</v>
      </c>
      <c r="G333" s="1">
        <v>107</v>
      </c>
      <c r="H333" s="1">
        <v>510</v>
      </c>
      <c r="I333" s="1">
        <v>1.4</v>
      </c>
      <c r="J333" s="1">
        <v>22680</v>
      </c>
      <c r="K333" s="1">
        <v>34199</v>
      </c>
      <c r="L333" s="1">
        <v>19.600000000000001</v>
      </c>
      <c r="M333" s="1" t="s">
        <v>35</v>
      </c>
      <c r="N333" s="1">
        <v>38.700000000000003</v>
      </c>
      <c r="O333" s="1">
        <v>83.7</v>
      </c>
      <c r="P333" s="1">
        <v>2026</v>
      </c>
    </row>
    <row r="334" spans="1:16" x14ac:dyDescent="0.2">
      <c r="A334" s="1" t="s">
        <v>378</v>
      </c>
      <c r="B334" s="1" t="s">
        <v>17</v>
      </c>
      <c r="C334" s="1" t="s">
        <v>18</v>
      </c>
      <c r="D334" s="1" t="s">
        <v>25</v>
      </c>
      <c r="E334" s="1" t="s">
        <v>38</v>
      </c>
      <c r="F334" s="1">
        <v>127555</v>
      </c>
      <c r="G334" s="1">
        <v>42</v>
      </c>
      <c r="H334" s="1">
        <v>612</v>
      </c>
      <c r="I334" s="1">
        <v>2.2000000000000002</v>
      </c>
      <c r="J334" s="1">
        <v>148681</v>
      </c>
      <c r="K334" s="1">
        <v>75789</v>
      </c>
      <c r="L334" s="1">
        <v>13.9</v>
      </c>
      <c r="M334" s="1" t="s">
        <v>35</v>
      </c>
      <c r="N334" s="1">
        <v>22.8</v>
      </c>
      <c r="O334" s="1">
        <v>95.5</v>
      </c>
      <c r="P334" s="1">
        <v>2026</v>
      </c>
    </row>
    <row r="335" spans="1:16" x14ac:dyDescent="0.2">
      <c r="A335" s="1" t="s">
        <v>379</v>
      </c>
      <c r="B335" s="1" t="s">
        <v>67</v>
      </c>
      <c r="C335" s="1" t="s">
        <v>18</v>
      </c>
      <c r="D335" s="1" t="s">
        <v>30</v>
      </c>
      <c r="E335" s="1" t="s">
        <v>38</v>
      </c>
      <c r="F335" s="1">
        <v>464313</v>
      </c>
      <c r="G335" s="1">
        <v>54</v>
      </c>
      <c r="H335" s="1">
        <v>352</v>
      </c>
      <c r="I335" s="1">
        <v>2.02</v>
      </c>
      <c r="J335" s="1">
        <v>184051</v>
      </c>
      <c r="K335" s="1">
        <v>73218</v>
      </c>
      <c r="L335" s="1">
        <v>17</v>
      </c>
      <c r="M335" s="1" t="s">
        <v>35</v>
      </c>
      <c r="N335" s="1">
        <v>16.5</v>
      </c>
      <c r="O335" s="1">
        <v>29.4</v>
      </c>
      <c r="P335" s="1">
        <v>2026</v>
      </c>
    </row>
    <row r="336" spans="1:16" ht="27.75" x14ac:dyDescent="0.2">
      <c r="A336" s="1" t="s">
        <v>380</v>
      </c>
      <c r="B336" s="1" t="s">
        <v>62</v>
      </c>
      <c r="C336" s="1" t="s">
        <v>41</v>
      </c>
      <c r="D336" s="1" t="s">
        <v>46</v>
      </c>
      <c r="E336" s="1" t="s">
        <v>34</v>
      </c>
      <c r="F336" s="1">
        <v>499794</v>
      </c>
      <c r="G336" s="1">
        <v>105</v>
      </c>
      <c r="H336" s="1">
        <v>590</v>
      </c>
      <c r="I336" s="1">
        <v>1.7</v>
      </c>
      <c r="J336" s="1">
        <v>176359</v>
      </c>
      <c r="K336" s="1">
        <v>26012</v>
      </c>
      <c r="L336" s="1">
        <v>23.5</v>
      </c>
      <c r="M336" s="1" t="s">
        <v>35</v>
      </c>
      <c r="N336" s="1">
        <v>40.200000000000003</v>
      </c>
      <c r="O336" s="1">
        <v>21.6</v>
      </c>
      <c r="P336" s="1">
        <v>2026</v>
      </c>
    </row>
    <row r="337" spans="1:16" ht="27.75" x14ac:dyDescent="0.2">
      <c r="A337" s="1" t="s">
        <v>381</v>
      </c>
      <c r="B337" s="1" t="s">
        <v>50</v>
      </c>
      <c r="C337" s="1" t="s">
        <v>24</v>
      </c>
      <c r="D337" s="1" t="s">
        <v>59</v>
      </c>
      <c r="E337" s="1" t="s">
        <v>20</v>
      </c>
      <c r="F337" s="1">
        <v>734615</v>
      </c>
      <c r="G337" s="1">
        <v>100</v>
      </c>
      <c r="H337" s="1">
        <v>259</v>
      </c>
      <c r="I337" s="1">
        <v>2.54</v>
      </c>
      <c r="J337" s="1">
        <v>14973</v>
      </c>
      <c r="K337" s="1">
        <v>39024</v>
      </c>
      <c r="L337" s="1">
        <v>22.1</v>
      </c>
      <c r="M337" s="1" t="s">
        <v>35</v>
      </c>
      <c r="N337" s="1">
        <v>61.6</v>
      </c>
      <c r="O337" s="1">
        <v>46.8</v>
      </c>
      <c r="P337" s="1">
        <v>2026</v>
      </c>
    </row>
    <row r="338" spans="1:16" ht="27.75" x14ac:dyDescent="0.2">
      <c r="A338" s="1" t="s">
        <v>382</v>
      </c>
      <c r="B338" s="1" t="s">
        <v>50</v>
      </c>
      <c r="C338" s="1" t="s">
        <v>24</v>
      </c>
      <c r="D338" s="1" t="s">
        <v>25</v>
      </c>
      <c r="E338" s="1" t="s">
        <v>38</v>
      </c>
      <c r="F338" s="1">
        <v>648065</v>
      </c>
      <c r="G338" s="1">
        <v>88</v>
      </c>
      <c r="H338" s="1">
        <v>454</v>
      </c>
      <c r="I338" s="1">
        <v>2.38</v>
      </c>
      <c r="J338" s="1">
        <v>155092</v>
      </c>
      <c r="K338" s="1">
        <v>43384</v>
      </c>
      <c r="L338" s="1">
        <v>19.3</v>
      </c>
      <c r="M338" s="1" t="s">
        <v>35</v>
      </c>
      <c r="N338" s="1">
        <v>52.5</v>
      </c>
      <c r="O338" s="1">
        <v>194.5</v>
      </c>
      <c r="P338" s="1">
        <v>2026</v>
      </c>
    </row>
    <row r="339" spans="1:16" ht="27.75" x14ac:dyDescent="0.2">
      <c r="A339" s="1" t="s">
        <v>383</v>
      </c>
      <c r="B339" s="1" t="s">
        <v>62</v>
      </c>
      <c r="C339" s="1" t="s">
        <v>41</v>
      </c>
      <c r="D339" s="1" t="s">
        <v>32</v>
      </c>
      <c r="E339" s="1" t="s">
        <v>34</v>
      </c>
      <c r="F339" s="1">
        <v>629013</v>
      </c>
      <c r="G339" s="1">
        <v>72</v>
      </c>
      <c r="H339" s="1">
        <v>581</v>
      </c>
      <c r="I339" s="1">
        <v>0.95</v>
      </c>
      <c r="J339" s="1">
        <v>92759</v>
      </c>
      <c r="K339" s="1">
        <v>79473</v>
      </c>
      <c r="L339" s="1">
        <v>16.399999999999999</v>
      </c>
      <c r="M339" s="1" t="s">
        <v>35</v>
      </c>
      <c r="N339" s="1">
        <v>29.4</v>
      </c>
      <c r="O339" s="1">
        <v>81.7</v>
      </c>
      <c r="P339" s="1">
        <v>2026</v>
      </c>
    </row>
    <row r="340" spans="1:16" ht="27.75" x14ac:dyDescent="0.2">
      <c r="A340" s="1" t="s">
        <v>384</v>
      </c>
      <c r="B340" s="1" t="s">
        <v>62</v>
      </c>
      <c r="C340" s="1" t="s">
        <v>41</v>
      </c>
      <c r="D340" s="1" t="s">
        <v>44</v>
      </c>
      <c r="E340" s="1" t="s">
        <v>20</v>
      </c>
      <c r="F340" s="1">
        <v>296801</v>
      </c>
      <c r="G340" s="1">
        <v>66</v>
      </c>
      <c r="H340" s="1">
        <v>457</v>
      </c>
      <c r="I340" s="1">
        <v>1.79</v>
      </c>
      <c r="J340" s="1">
        <v>108550</v>
      </c>
      <c r="K340" s="1">
        <v>39311</v>
      </c>
      <c r="L340" s="1">
        <v>15.1</v>
      </c>
      <c r="M340" s="1" t="s">
        <v>35</v>
      </c>
      <c r="N340" s="1">
        <v>36</v>
      </c>
      <c r="O340" s="1">
        <v>227.2</v>
      </c>
      <c r="P340" s="1">
        <v>2026</v>
      </c>
    </row>
    <row r="341" spans="1:16" x14ac:dyDescent="0.2">
      <c r="A341" s="1" t="s">
        <v>385</v>
      </c>
      <c r="B341" s="1" t="s">
        <v>17</v>
      </c>
      <c r="C341" s="1" t="s">
        <v>18</v>
      </c>
      <c r="D341" s="1" t="s">
        <v>37</v>
      </c>
      <c r="E341" s="1" t="s">
        <v>20</v>
      </c>
      <c r="F341" s="1">
        <v>787683</v>
      </c>
      <c r="G341" s="1">
        <v>50</v>
      </c>
      <c r="H341" s="1">
        <v>368</v>
      </c>
      <c r="I341" s="1">
        <v>0.97</v>
      </c>
      <c r="J341" s="1">
        <v>171023</v>
      </c>
      <c r="K341" s="1">
        <v>72690</v>
      </c>
      <c r="L341" s="1">
        <v>20.100000000000001</v>
      </c>
      <c r="M341" s="1" t="s">
        <v>21</v>
      </c>
      <c r="N341" s="1">
        <v>27.1</v>
      </c>
      <c r="O341" s="1">
        <v>173.7</v>
      </c>
      <c r="P341" s="1">
        <v>2026</v>
      </c>
    </row>
    <row r="342" spans="1:16" x14ac:dyDescent="0.2">
      <c r="A342" s="1" t="s">
        <v>386</v>
      </c>
      <c r="B342" s="1" t="s">
        <v>53</v>
      </c>
      <c r="C342" s="1" t="s">
        <v>41</v>
      </c>
      <c r="D342" s="1" t="s">
        <v>46</v>
      </c>
      <c r="E342" s="1" t="s">
        <v>38</v>
      </c>
      <c r="F342" s="1">
        <v>618280</v>
      </c>
      <c r="G342" s="1">
        <v>100</v>
      </c>
      <c r="H342" s="1">
        <v>311</v>
      </c>
      <c r="I342" s="1">
        <v>1.53</v>
      </c>
      <c r="J342" s="1">
        <v>105214</v>
      </c>
      <c r="K342" s="1">
        <v>61289</v>
      </c>
      <c r="L342" s="1">
        <v>22.9</v>
      </c>
      <c r="M342" s="1" t="s">
        <v>21</v>
      </c>
      <c r="N342" s="1">
        <v>20.399999999999999</v>
      </c>
      <c r="O342" s="1">
        <v>225</v>
      </c>
      <c r="P342" s="1">
        <v>2026</v>
      </c>
    </row>
    <row r="343" spans="1:16" x14ac:dyDescent="0.2">
      <c r="A343" s="1" t="s">
        <v>387</v>
      </c>
      <c r="B343" s="1" t="s">
        <v>40</v>
      </c>
      <c r="C343" s="1" t="s">
        <v>41</v>
      </c>
      <c r="D343" s="1" t="s">
        <v>59</v>
      </c>
      <c r="E343" s="1" t="s">
        <v>34</v>
      </c>
      <c r="F343" s="1">
        <v>826551</v>
      </c>
      <c r="G343" s="1">
        <v>54</v>
      </c>
      <c r="H343" s="1">
        <v>434</v>
      </c>
      <c r="I343" s="1">
        <v>0.65</v>
      </c>
      <c r="J343" s="1">
        <v>133361</v>
      </c>
      <c r="K343" s="1">
        <v>75098</v>
      </c>
      <c r="L343" s="1">
        <v>24.7</v>
      </c>
      <c r="M343" s="1" t="s">
        <v>35</v>
      </c>
      <c r="N343" s="1">
        <v>20.7</v>
      </c>
      <c r="O343" s="1">
        <v>79.099999999999994</v>
      </c>
      <c r="P343" s="1">
        <v>2026</v>
      </c>
    </row>
    <row r="344" spans="1:16" x14ac:dyDescent="0.2">
      <c r="A344" s="1" t="s">
        <v>388</v>
      </c>
      <c r="B344" s="1" t="s">
        <v>40</v>
      </c>
      <c r="C344" s="1" t="s">
        <v>41</v>
      </c>
      <c r="D344" s="1" t="s">
        <v>46</v>
      </c>
      <c r="E344" s="1" t="s">
        <v>26</v>
      </c>
      <c r="F344" s="1">
        <v>560647</v>
      </c>
      <c r="G344" s="1">
        <v>100</v>
      </c>
      <c r="H344" s="1">
        <v>416</v>
      </c>
      <c r="I344" s="1">
        <v>1.4</v>
      </c>
      <c r="J344" s="1">
        <v>86366</v>
      </c>
      <c r="K344" s="1">
        <v>27622</v>
      </c>
      <c r="L344" s="1">
        <v>23.2</v>
      </c>
      <c r="M344" s="1" t="s">
        <v>35</v>
      </c>
      <c r="N344" s="1">
        <v>50.8</v>
      </c>
      <c r="O344" s="1">
        <v>82.6</v>
      </c>
      <c r="P344" s="1">
        <v>2026</v>
      </c>
    </row>
    <row r="345" spans="1:16" x14ac:dyDescent="0.2">
      <c r="A345" s="1" t="s">
        <v>389</v>
      </c>
      <c r="B345" s="1" t="s">
        <v>53</v>
      </c>
      <c r="C345" s="1" t="s">
        <v>41</v>
      </c>
      <c r="D345" s="1" t="s">
        <v>59</v>
      </c>
      <c r="E345" s="1" t="s">
        <v>34</v>
      </c>
      <c r="F345" s="1">
        <v>587698</v>
      </c>
      <c r="G345" s="1">
        <v>66</v>
      </c>
      <c r="H345" s="1">
        <v>285</v>
      </c>
      <c r="I345" s="1">
        <v>1.52</v>
      </c>
      <c r="J345" s="1">
        <v>72069</v>
      </c>
      <c r="K345" s="1">
        <v>74668</v>
      </c>
      <c r="L345" s="1">
        <v>13.3</v>
      </c>
      <c r="M345" s="1" t="s">
        <v>35</v>
      </c>
      <c r="N345" s="1">
        <v>37.1</v>
      </c>
      <c r="O345" s="1">
        <v>75.099999999999994</v>
      </c>
      <c r="P345" s="1">
        <v>2026</v>
      </c>
    </row>
    <row r="346" spans="1:16" x14ac:dyDescent="0.2">
      <c r="A346" s="1" t="s">
        <v>390</v>
      </c>
      <c r="B346" s="1" t="s">
        <v>56</v>
      </c>
      <c r="C346" s="1" t="s">
        <v>41</v>
      </c>
      <c r="D346" s="1" t="s">
        <v>46</v>
      </c>
      <c r="E346" s="1" t="s">
        <v>38</v>
      </c>
      <c r="F346" s="1">
        <v>30826</v>
      </c>
      <c r="G346" s="1">
        <v>109</v>
      </c>
      <c r="H346" s="1">
        <v>580</v>
      </c>
      <c r="I346" s="1">
        <v>2.33</v>
      </c>
      <c r="J346" s="1">
        <v>156434</v>
      </c>
      <c r="K346" s="1">
        <v>25516</v>
      </c>
      <c r="L346" s="1">
        <v>12.1</v>
      </c>
      <c r="M346" s="1" t="s">
        <v>21</v>
      </c>
      <c r="N346" s="1">
        <v>34.200000000000003</v>
      </c>
      <c r="O346" s="1">
        <v>68.3</v>
      </c>
      <c r="P346" s="1">
        <v>2026</v>
      </c>
    </row>
    <row r="347" spans="1:16" x14ac:dyDescent="0.2">
      <c r="A347" s="1" t="s">
        <v>391</v>
      </c>
      <c r="B347" s="1" t="s">
        <v>43</v>
      </c>
      <c r="C347" s="1" t="s">
        <v>18</v>
      </c>
      <c r="D347" s="1" t="s">
        <v>48</v>
      </c>
      <c r="E347" s="1" t="s">
        <v>20</v>
      </c>
      <c r="F347" s="1">
        <v>811643</v>
      </c>
      <c r="G347" s="1">
        <v>116</v>
      </c>
      <c r="H347" s="1">
        <v>403</v>
      </c>
      <c r="I347" s="1">
        <v>1.8</v>
      </c>
      <c r="J347" s="1">
        <v>90889</v>
      </c>
      <c r="K347" s="1">
        <v>49605</v>
      </c>
      <c r="L347" s="1">
        <v>15.3</v>
      </c>
      <c r="M347" s="1" t="s">
        <v>21</v>
      </c>
      <c r="N347" s="1">
        <v>9.1</v>
      </c>
      <c r="O347" s="1">
        <v>228.8</v>
      </c>
      <c r="P347" s="1">
        <v>2026</v>
      </c>
    </row>
    <row r="348" spans="1:16" x14ac:dyDescent="0.2">
      <c r="A348" s="1" t="s">
        <v>392</v>
      </c>
      <c r="B348" s="1" t="s">
        <v>28</v>
      </c>
      <c r="C348" s="1" t="s">
        <v>29</v>
      </c>
      <c r="D348" s="1" t="s">
        <v>19</v>
      </c>
      <c r="E348" s="1" t="s">
        <v>26</v>
      </c>
      <c r="F348" s="1">
        <v>867593</v>
      </c>
      <c r="G348" s="1">
        <v>50</v>
      </c>
      <c r="H348" s="1">
        <v>405</v>
      </c>
      <c r="I348" s="1">
        <v>1.51</v>
      </c>
      <c r="J348" s="1">
        <v>135072</v>
      </c>
      <c r="K348" s="1">
        <v>74160</v>
      </c>
      <c r="L348" s="1">
        <v>22</v>
      </c>
      <c r="M348" s="1" t="s">
        <v>35</v>
      </c>
      <c r="N348" s="1">
        <v>61.3</v>
      </c>
      <c r="O348" s="1">
        <v>292.60000000000002</v>
      </c>
      <c r="P348" s="1">
        <v>2026</v>
      </c>
    </row>
    <row r="349" spans="1:16" x14ac:dyDescent="0.2">
      <c r="A349" s="1" t="s">
        <v>393</v>
      </c>
      <c r="B349" s="1" t="s">
        <v>56</v>
      </c>
      <c r="C349" s="1" t="s">
        <v>41</v>
      </c>
      <c r="D349" s="1" t="s">
        <v>59</v>
      </c>
      <c r="E349" s="1" t="s">
        <v>34</v>
      </c>
      <c r="F349" s="1">
        <v>223126</v>
      </c>
      <c r="G349" s="1">
        <v>41</v>
      </c>
      <c r="H349" s="1">
        <v>476</v>
      </c>
      <c r="I349" s="1">
        <v>2.78</v>
      </c>
      <c r="J349" s="1">
        <v>126347</v>
      </c>
      <c r="K349" s="1">
        <v>56220</v>
      </c>
      <c r="L349" s="1">
        <v>22.1</v>
      </c>
      <c r="M349" s="1" t="s">
        <v>35</v>
      </c>
      <c r="N349" s="1">
        <v>13.7</v>
      </c>
      <c r="O349" s="1">
        <v>179.8</v>
      </c>
      <c r="P349" s="1">
        <v>2026</v>
      </c>
    </row>
    <row r="350" spans="1:16" x14ac:dyDescent="0.2">
      <c r="A350" s="1" t="s">
        <v>394</v>
      </c>
      <c r="B350" s="1" t="s">
        <v>56</v>
      </c>
      <c r="C350" s="1" t="s">
        <v>41</v>
      </c>
      <c r="D350" s="1" t="s">
        <v>46</v>
      </c>
      <c r="E350" s="1" t="s">
        <v>34</v>
      </c>
      <c r="F350" s="1">
        <v>691214</v>
      </c>
      <c r="G350" s="1">
        <v>61</v>
      </c>
      <c r="H350" s="1">
        <v>608</v>
      </c>
      <c r="I350" s="1">
        <v>2.58</v>
      </c>
      <c r="J350" s="1">
        <v>11900</v>
      </c>
      <c r="K350" s="1">
        <v>27674</v>
      </c>
      <c r="L350" s="1">
        <v>24</v>
      </c>
      <c r="M350" s="1" t="s">
        <v>21</v>
      </c>
      <c r="N350" s="1">
        <v>6.3</v>
      </c>
      <c r="O350" s="1">
        <v>245.6</v>
      </c>
      <c r="P350" s="1">
        <v>2026</v>
      </c>
    </row>
    <row r="351" spans="1:16" x14ac:dyDescent="0.2">
      <c r="A351" s="1" t="s">
        <v>395</v>
      </c>
      <c r="B351" s="1" t="s">
        <v>43</v>
      </c>
      <c r="C351" s="1" t="s">
        <v>18</v>
      </c>
      <c r="D351" s="1" t="s">
        <v>37</v>
      </c>
      <c r="E351" s="1" t="s">
        <v>38</v>
      </c>
      <c r="F351" s="1">
        <v>221000</v>
      </c>
      <c r="G351" s="1">
        <v>58</v>
      </c>
      <c r="H351" s="1">
        <v>450</v>
      </c>
      <c r="I351" s="1">
        <v>2.0699999999999998</v>
      </c>
      <c r="J351" s="1">
        <v>49498</v>
      </c>
      <c r="K351" s="1">
        <v>50582</v>
      </c>
      <c r="L351" s="1">
        <v>17.2</v>
      </c>
      <c r="M351" s="1" t="s">
        <v>35</v>
      </c>
      <c r="N351" s="1">
        <v>49.7</v>
      </c>
      <c r="O351" s="1">
        <v>65</v>
      </c>
      <c r="P351" s="1">
        <v>2026</v>
      </c>
    </row>
    <row r="352" spans="1:16" x14ac:dyDescent="0.2">
      <c r="A352" s="1" t="s">
        <v>396</v>
      </c>
      <c r="B352" s="1" t="s">
        <v>56</v>
      </c>
      <c r="C352" s="1" t="s">
        <v>41</v>
      </c>
      <c r="D352" s="1" t="s">
        <v>73</v>
      </c>
      <c r="E352" s="1" t="s">
        <v>34</v>
      </c>
      <c r="F352" s="1">
        <v>352596</v>
      </c>
      <c r="G352" s="1">
        <v>105</v>
      </c>
      <c r="H352" s="1">
        <v>429</v>
      </c>
      <c r="I352" s="1">
        <v>2.44</v>
      </c>
      <c r="J352" s="1">
        <v>15266</v>
      </c>
      <c r="K352" s="1">
        <v>61255</v>
      </c>
      <c r="L352" s="1">
        <v>20.5</v>
      </c>
      <c r="M352" s="1" t="s">
        <v>21</v>
      </c>
      <c r="N352" s="1">
        <v>57.1</v>
      </c>
      <c r="O352" s="1">
        <v>15</v>
      </c>
      <c r="P352" s="1">
        <v>2026</v>
      </c>
    </row>
    <row r="353" spans="1:16" x14ac:dyDescent="0.2">
      <c r="A353" s="1" t="s">
        <v>397</v>
      </c>
      <c r="B353" s="1" t="s">
        <v>67</v>
      </c>
      <c r="C353" s="1" t="s">
        <v>18</v>
      </c>
      <c r="D353" s="1" t="s">
        <v>25</v>
      </c>
      <c r="E353" s="1" t="s">
        <v>38</v>
      </c>
      <c r="F353" s="1">
        <v>63110</v>
      </c>
      <c r="G353" s="1">
        <v>72</v>
      </c>
      <c r="H353" s="1">
        <v>647</v>
      </c>
      <c r="I353" s="1">
        <v>1.53</v>
      </c>
      <c r="J353" s="1">
        <v>156469</v>
      </c>
      <c r="K353" s="1">
        <v>48682</v>
      </c>
      <c r="L353" s="1">
        <v>24.7</v>
      </c>
      <c r="M353" s="1" t="s">
        <v>21</v>
      </c>
      <c r="N353" s="1">
        <v>43.3</v>
      </c>
      <c r="O353" s="1">
        <v>144.5</v>
      </c>
      <c r="P353" s="1">
        <v>2026</v>
      </c>
    </row>
    <row r="354" spans="1:16" x14ac:dyDescent="0.2">
      <c r="A354" s="1" t="s">
        <v>398</v>
      </c>
      <c r="B354" s="1" t="s">
        <v>43</v>
      </c>
      <c r="C354" s="1" t="s">
        <v>18</v>
      </c>
      <c r="D354" s="1" t="s">
        <v>46</v>
      </c>
      <c r="E354" s="1" t="s">
        <v>34</v>
      </c>
      <c r="F354" s="1">
        <v>119157</v>
      </c>
      <c r="G354" s="1">
        <v>104</v>
      </c>
      <c r="H354" s="1">
        <v>319</v>
      </c>
      <c r="I354" s="1">
        <v>0.59</v>
      </c>
      <c r="J354" s="1">
        <v>74916</v>
      </c>
      <c r="K354" s="1">
        <v>64117</v>
      </c>
      <c r="L354" s="1">
        <v>15.2</v>
      </c>
      <c r="M354" s="1" t="s">
        <v>35</v>
      </c>
      <c r="N354" s="1">
        <v>55.2</v>
      </c>
      <c r="O354" s="1">
        <v>111.2</v>
      </c>
      <c r="P354" s="1">
        <v>2026</v>
      </c>
    </row>
    <row r="355" spans="1:16" x14ac:dyDescent="0.2">
      <c r="A355" s="1" t="s">
        <v>399</v>
      </c>
      <c r="B355" s="1" t="s">
        <v>56</v>
      </c>
      <c r="C355" s="1" t="s">
        <v>41</v>
      </c>
      <c r="D355" s="1" t="s">
        <v>48</v>
      </c>
      <c r="E355" s="1" t="s">
        <v>34</v>
      </c>
      <c r="F355" s="1">
        <v>374064</v>
      </c>
      <c r="G355" s="1">
        <v>65</v>
      </c>
      <c r="H355" s="1">
        <v>379</v>
      </c>
      <c r="I355" s="1">
        <v>1.06</v>
      </c>
      <c r="J355" s="1">
        <v>155717</v>
      </c>
      <c r="K355" s="1">
        <v>69110</v>
      </c>
      <c r="L355" s="1">
        <v>13.7</v>
      </c>
      <c r="M355" s="1" t="s">
        <v>35</v>
      </c>
      <c r="N355" s="1">
        <v>37.5</v>
      </c>
      <c r="O355" s="1">
        <v>246.9</v>
      </c>
      <c r="P355" s="1">
        <v>2026</v>
      </c>
    </row>
    <row r="356" spans="1:16" ht="27.75" x14ac:dyDescent="0.2">
      <c r="A356" s="1" t="s">
        <v>400</v>
      </c>
      <c r="B356" s="1" t="s">
        <v>62</v>
      </c>
      <c r="C356" s="1" t="s">
        <v>41</v>
      </c>
      <c r="D356" s="1" t="s">
        <v>19</v>
      </c>
      <c r="E356" s="1" t="s">
        <v>38</v>
      </c>
      <c r="F356" s="1">
        <v>445419</v>
      </c>
      <c r="G356" s="1">
        <v>107</v>
      </c>
      <c r="H356" s="1">
        <v>589</v>
      </c>
      <c r="I356" s="1">
        <v>1.57</v>
      </c>
      <c r="J356" s="1">
        <v>45366</v>
      </c>
      <c r="K356" s="1">
        <v>56690</v>
      </c>
      <c r="L356" s="1">
        <v>16.7</v>
      </c>
      <c r="M356" s="1" t="s">
        <v>35</v>
      </c>
      <c r="N356" s="1">
        <v>18.2</v>
      </c>
      <c r="O356" s="1">
        <v>47.4</v>
      </c>
      <c r="P356" s="1">
        <v>2026</v>
      </c>
    </row>
    <row r="357" spans="1:16" ht="27.75" x14ac:dyDescent="0.2">
      <c r="A357" s="1" t="s">
        <v>401</v>
      </c>
      <c r="B357" s="1" t="s">
        <v>23</v>
      </c>
      <c r="C357" s="1" t="s">
        <v>24</v>
      </c>
      <c r="D357" s="1" t="s">
        <v>48</v>
      </c>
      <c r="E357" s="1" t="s">
        <v>38</v>
      </c>
      <c r="F357" s="1">
        <v>822295</v>
      </c>
      <c r="G357" s="1">
        <v>91</v>
      </c>
      <c r="H357" s="1">
        <v>290</v>
      </c>
      <c r="I357" s="1">
        <v>0.78</v>
      </c>
      <c r="J357" s="1">
        <v>170341</v>
      </c>
      <c r="K357" s="1">
        <v>62939</v>
      </c>
      <c r="L357" s="1">
        <v>13.3</v>
      </c>
      <c r="M357" s="1" t="s">
        <v>35</v>
      </c>
      <c r="N357" s="1">
        <v>51.5</v>
      </c>
      <c r="O357" s="1">
        <v>293.7</v>
      </c>
      <c r="P357" s="1">
        <v>2026</v>
      </c>
    </row>
    <row r="358" spans="1:16" x14ac:dyDescent="0.2">
      <c r="A358" s="1" t="s">
        <v>402</v>
      </c>
      <c r="B358" s="1" t="s">
        <v>43</v>
      </c>
      <c r="C358" s="1" t="s">
        <v>18</v>
      </c>
      <c r="D358" s="1" t="s">
        <v>32</v>
      </c>
      <c r="E358" s="1" t="s">
        <v>20</v>
      </c>
      <c r="F358" s="1">
        <v>541682</v>
      </c>
      <c r="G358" s="1">
        <v>90</v>
      </c>
      <c r="H358" s="1">
        <v>399</v>
      </c>
      <c r="I358" s="1">
        <v>0.85</v>
      </c>
      <c r="J358" s="1">
        <v>69893</v>
      </c>
      <c r="K358" s="1">
        <v>33148</v>
      </c>
      <c r="L358" s="1">
        <v>20.6</v>
      </c>
      <c r="M358" s="1" t="s">
        <v>35</v>
      </c>
      <c r="N358" s="1">
        <v>28.8</v>
      </c>
      <c r="O358" s="1">
        <v>212.2</v>
      </c>
      <c r="P358" s="1">
        <v>2026</v>
      </c>
    </row>
    <row r="359" spans="1:16" x14ac:dyDescent="0.2">
      <c r="A359" s="1" t="s">
        <v>403</v>
      </c>
      <c r="B359" s="1" t="s">
        <v>28</v>
      </c>
      <c r="C359" s="1" t="s">
        <v>29</v>
      </c>
      <c r="D359" s="1" t="s">
        <v>59</v>
      </c>
      <c r="E359" s="1" t="s">
        <v>20</v>
      </c>
      <c r="F359" s="1">
        <v>395677</v>
      </c>
      <c r="G359" s="1">
        <v>93</v>
      </c>
      <c r="H359" s="1">
        <v>508</v>
      </c>
      <c r="I359" s="1">
        <v>1.23</v>
      </c>
      <c r="J359" s="1">
        <v>194918</v>
      </c>
      <c r="K359" s="1">
        <v>54126</v>
      </c>
      <c r="L359" s="1">
        <v>22.4</v>
      </c>
      <c r="M359" s="1" t="s">
        <v>35</v>
      </c>
      <c r="N359" s="1">
        <v>25.7</v>
      </c>
      <c r="O359" s="1">
        <v>16.8</v>
      </c>
      <c r="P359" s="1">
        <v>2026</v>
      </c>
    </row>
    <row r="360" spans="1:16" x14ac:dyDescent="0.2">
      <c r="A360" s="1" t="s">
        <v>404</v>
      </c>
      <c r="B360" s="1" t="s">
        <v>53</v>
      </c>
      <c r="C360" s="1" t="s">
        <v>41</v>
      </c>
      <c r="D360" s="1" t="s">
        <v>32</v>
      </c>
      <c r="E360" s="1" t="s">
        <v>26</v>
      </c>
      <c r="F360" s="1">
        <v>807938</v>
      </c>
      <c r="G360" s="1">
        <v>102</v>
      </c>
      <c r="H360" s="1">
        <v>580</v>
      </c>
      <c r="I360" s="1">
        <v>2.97</v>
      </c>
      <c r="J360" s="1">
        <v>163084</v>
      </c>
      <c r="K360" s="1">
        <v>67025</v>
      </c>
      <c r="L360" s="1">
        <v>21.1</v>
      </c>
      <c r="M360" s="1" t="s">
        <v>21</v>
      </c>
      <c r="N360" s="1">
        <v>17.7</v>
      </c>
      <c r="O360" s="1">
        <v>231.9</v>
      </c>
      <c r="P360" s="1">
        <v>2026</v>
      </c>
    </row>
    <row r="361" spans="1:16" x14ac:dyDescent="0.2">
      <c r="A361" s="1" t="s">
        <v>405</v>
      </c>
      <c r="B361" s="1" t="s">
        <v>28</v>
      </c>
      <c r="C361" s="1" t="s">
        <v>29</v>
      </c>
      <c r="D361" s="1" t="s">
        <v>48</v>
      </c>
      <c r="E361" s="1" t="s">
        <v>34</v>
      </c>
      <c r="F361" s="1">
        <v>898363</v>
      </c>
      <c r="G361" s="1">
        <v>110</v>
      </c>
      <c r="H361" s="1">
        <v>645</v>
      </c>
      <c r="I361" s="1">
        <v>2.69</v>
      </c>
      <c r="J361" s="1">
        <v>152641</v>
      </c>
      <c r="K361" s="1">
        <v>69831</v>
      </c>
      <c r="L361" s="1">
        <v>20.7</v>
      </c>
      <c r="M361" s="1" t="s">
        <v>35</v>
      </c>
      <c r="N361" s="1">
        <v>49</v>
      </c>
      <c r="O361" s="1">
        <v>73.8</v>
      </c>
      <c r="P361" s="1">
        <v>2026</v>
      </c>
    </row>
    <row r="362" spans="1:16" ht="27.75" x14ac:dyDescent="0.2">
      <c r="A362" s="1" t="s">
        <v>406</v>
      </c>
      <c r="B362" s="1" t="s">
        <v>23</v>
      </c>
      <c r="C362" s="1" t="s">
        <v>24</v>
      </c>
      <c r="D362" s="1" t="s">
        <v>46</v>
      </c>
      <c r="E362" s="1" t="s">
        <v>38</v>
      </c>
      <c r="F362" s="1">
        <v>847551</v>
      </c>
      <c r="G362" s="1">
        <v>70</v>
      </c>
      <c r="H362" s="1">
        <v>529</v>
      </c>
      <c r="I362" s="1">
        <v>2.42</v>
      </c>
      <c r="J362" s="1">
        <v>30348</v>
      </c>
      <c r="K362" s="1">
        <v>46302</v>
      </c>
      <c r="L362" s="1">
        <v>22.4</v>
      </c>
      <c r="M362" s="1" t="s">
        <v>35</v>
      </c>
      <c r="N362" s="1">
        <v>63.7</v>
      </c>
      <c r="O362" s="1">
        <v>36.9</v>
      </c>
      <c r="P362" s="1">
        <v>2026</v>
      </c>
    </row>
    <row r="363" spans="1:16" ht="27.75" x14ac:dyDescent="0.2">
      <c r="A363" s="1" t="s">
        <v>407</v>
      </c>
      <c r="B363" s="1" t="s">
        <v>62</v>
      </c>
      <c r="C363" s="1" t="s">
        <v>41</v>
      </c>
      <c r="D363" s="1" t="s">
        <v>46</v>
      </c>
      <c r="E363" s="1" t="s">
        <v>20</v>
      </c>
      <c r="F363" s="1">
        <v>657820</v>
      </c>
      <c r="G363" s="1">
        <v>80</v>
      </c>
      <c r="H363" s="1">
        <v>566</v>
      </c>
      <c r="I363" s="1">
        <v>0.59</v>
      </c>
      <c r="J363" s="1">
        <v>84973</v>
      </c>
      <c r="K363" s="1">
        <v>46648</v>
      </c>
      <c r="L363" s="1">
        <v>22.5</v>
      </c>
      <c r="M363" s="1" t="s">
        <v>35</v>
      </c>
      <c r="N363" s="1">
        <v>53.1</v>
      </c>
      <c r="O363" s="1">
        <v>247.2</v>
      </c>
      <c r="P363" s="1">
        <v>2026</v>
      </c>
    </row>
    <row r="364" spans="1:16" x14ac:dyDescent="0.2">
      <c r="A364" s="1" t="s">
        <v>408</v>
      </c>
      <c r="B364" s="1" t="s">
        <v>28</v>
      </c>
      <c r="C364" s="1" t="s">
        <v>29</v>
      </c>
      <c r="D364" s="1" t="s">
        <v>48</v>
      </c>
      <c r="E364" s="1" t="s">
        <v>26</v>
      </c>
      <c r="F364" s="1">
        <v>107825</v>
      </c>
      <c r="G364" s="1">
        <v>53</v>
      </c>
      <c r="H364" s="1">
        <v>261</v>
      </c>
      <c r="I364" s="1">
        <v>0.56999999999999995</v>
      </c>
      <c r="J364" s="1">
        <v>180955</v>
      </c>
      <c r="K364" s="1">
        <v>82034</v>
      </c>
      <c r="L364" s="1">
        <v>15.5</v>
      </c>
      <c r="M364" s="1" t="s">
        <v>35</v>
      </c>
      <c r="N364" s="1">
        <v>12.6</v>
      </c>
      <c r="O364" s="1">
        <v>223.3</v>
      </c>
      <c r="P364" s="1">
        <v>2026</v>
      </c>
    </row>
    <row r="365" spans="1:16" x14ac:dyDescent="0.2">
      <c r="A365" s="1" t="s">
        <v>409</v>
      </c>
      <c r="B365" s="1" t="s">
        <v>28</v>
      </c>
      <c r="C365" s="1" t="s">
        <v>29</v>
      </c>
      <c r="D365" s="1" t="s">
        <v>44</v>
      </c>
      <c r="E365" s="1" t="s">
        <v>38</v>
      </c>
      <c r="F365" s="1">
        <v>215955</v>
      </c>
      <c r="G365" s="1">
        <v>119</v>
      </c>
      <c r="H365" s="1">
        <v>641</v>
      </c>
      <c r="I365" s="1">
        <v>0.61</v>
      </c>
      <c r="J365" s="1">
        <v>69858</v>
      </c>
      <c r="K365" s="1">
        <v>45083</v>
      </c>
      <c r="L365" s="1">
        <v>22.2</v>
      </c>
      <c r="M365" s="1" t="s">
        <v>35</v>
      </c>
      <c r="N365" s="1">
        <v>29.9</v>
      </c>
      <c r="O365" s="1">
        <v>280.7</v>
      </c>
      <c r="P365" s="1">
        <v>2026</v>
      </c>
    </row>
    <row r="366" spans="1:16" x14ac:dyDescent="0.2">
      <c r="A366" s="1" t="s">
        <v>410</v>
      </c>
      <c r="B366" s="1" t="s">
        <v>28</v>
      </c>
      <c r="C366" s="1" t="s">
        <v>29</v>
      </c>
      <c r="D366" s="1" t="s">
        <v>37</v>
      </c>
      <c r="E366" s="1" t="s">
        <v>26</v>
      </c>
      <c r="F366" s="1">
        <v>852496</v>
      </c>
      <c r="G366" s="1">
        <v>60</v>
      </c>
      <c r="H366" s="1">
        <v>543</v>
      </c>
      <c r="I366" s="1">
        <v>2.76</v>
      </c>
      <c r="J366" s="1">
        <v>117934</v>
      </c>
      <c r="K366" s="1">
        <v>66244</v>
      </c>
      <c r="L366" s="1">
        <v>19.100000000000001</v>
      </c>
      <c r="M366" s="1" t="s">
        <v>21</v>
      </c>
      <c r="N366" s="1">
        <v>34</v>
      </c>
      <c r="O366" s="1">
        <v>162.6</v>
      </c>
      <c r="P366" s="1">
        <v>2026</v>
      </c>
    </row>
    <row r="367" spans="1:16" x14ac:dyDescent="0.2">
      <c r="A367" s="1" t="s">
        <v>411</v>
      </c>
      <c r="B367" s="1" t="s">
        <v>17</v>
      </c>
      <c r="C367" s="1" t="s">
        <v>18</v>
      </c>
      <c r="D367" s="1" t="s">
        <v>46</v>
      </c>
      <c r="E367" s="1" t="s">
        <v>26</v>
      </c>
      <c r="F367" s="1">
        <v>442003</v>
      </c>
      <c r="G367" s="1">
        <v>118</v>
      </c>
      <c r="H367" s="1">
        <v>372</v>
      </c>
      <c r="I367" s="1">
        <v>0.83</v>
      </c>
      <c r="J367" s="1">
        <v>72374</v>
      </c>
      <c r="K367" s="1">
        <v>64535</v>
      </c>
      <c r="L367" s="1">
        <v>21.9</v>
      </c>
      <c r="M367" s="1" t="s">
        <v>35</v>
      </c>
      <c r="N367" s="1">
        <v>21.6</v>
      </c>
      <c r="O367" s="1">
        <v>18.7</v>
      </c>
      <c r="P367" s="1">
        <v>2026</v>
      </c>
    </row>
    <row r="368" spans="1:16" x14ac:dyDescent="0.2">
      <c r="A368" s="1" t="s">
        <v>412</v>
      </c>
      <c r="B368" s="1" t="s">
        <v>43</v>
      </c>
      <c r="C368" s="1" t="s">
        <v>18</v>
      </c>
      <c r="D368" s="1" t="s">
        <v>30</v>
      </c>
      <c r="E368" s="1" t="s">
        <v>26</v>
      </c>
      <c r="F368" s="1">
        <v>842965</v>
      </c>
      <c r="G368" s="1">
        <v>114</v>
      </c>
      <c r="H368" s="1">
        <v>265</v>
      </c>
      <c r="I368" s="1">
        <v>1.38</v>
      </c>
      <c r="J368" s="1">
        <v>65866</v>
      </c>
      <c r="K368" s="1">
        <v>74150</v>
      </c>
      <c r="L368" s="1">
        <v>14</v>
      </c>
      <c r="M368" s="1" t="s">
        <v>21</v>
      </c>
      <c r="N368" s="1">
        <v>16.8</v>
      </c>
      <c r="O368" s="1">
        <v>134.80000000000001</v>
      </c>
      <c r="P368" s="1">
        <v>2026</v>
      </c>
    </row>
    <row r="369" spans="1:16" ht="27.75" x14ac:dyDescent="0.2">
      <c r="A369" s="1" t="s">
        <v>413</v>
      </c>
      <c r="B369" s="1" t="s">
        <v>50</v>
      </c>
      <c r="C369" s="1" t="s">
        <v>24</v>
      </c>
      <c r="D369" s="1" t="s">
        <v>59</v>
      </c>
      <c r="E369" s="1" t="s">
        <v>34</v>
      </c>
      <c r="F369" s="1">
        <v>157876</v>
      </c>
      <c r="G369" s="1">
        <v>81</v>
      </c>
      <c r="H369" s="1">
        <v>386</v>
      </c>
      <c r="I369" s="1">
        <v>1.47</v>
      </c>
      <c r="J369" s="1">
        <v>21028</v>
      </c>
      <c r="K369" s="1">
        <v>81352</v>
      </c>
      <c r="L369" s="1">
        <v>12.4</v>
      </c>
      <c r="M369" s="1" t="s">
        <v>35</v>
      </c>
      <c r="N369" s="1">
        <v>33.799999999999997</v>
      </c>
      <c r="O369" s="1">
        <v>57.2</v>
      </c>
      <c r="P369" s="1">
        <v>2026</v>
      </c>
    </row>
    <row r="370" spans="1:16" x14ac:dyDescent="0.2">
      <c r="A370" s="1" t="s">
        <v>414</v>
      </c>
      <c r="B370" s="1" t="s">
        <v>67</v>
      </c>
      <c r="C370" s="1" t="s">
        <v>18</v>
      </c>
      <c r="D370" s="1" t="s">
        <v>48</v>
      </c>
      <c r="E370" s="1" t="s">
        <v>20</v>
      </c>
      <c r="F370" s="1">
        <v>226480</v>
      </c>
      <c r="G370" s="1">
        <v>84</v>
      </c>
      <c r="H370" s="1">
        <v>628</v>
      </c>
      <c r="I370" s="1">
        <v>0.61</v>
      </c>
      <c r="J370" s="1">
        <v>28474</v>
      </c>
      <c r="K370" s="1">
        <v>28518</v>
      </c>
      <c r="L370" s="1">
        <v>14.7</v>
      </c>
      <c r="M370" s="1" t="s">
        <v>35</v>
      </c>
      <c r="N370" s="1">
        <v>10.1</v>
      </c>
      <c r="O370" s="1">
        <v>28.2</v>
      </c>
      <c r="P370" s="1">
        <v>2026</v>
      </c>
    </row>
    <row r="371" spans="1:16" x14ac:dyDescent="0.2">
      <c r="A371" s="1" t="s">
        <v>415</v>
      </c>
      <c r="B371" s="1" t="s">
        <v>53</v>
      </c>
      <c r="C371" s="1" t="s">
        <v>41</v>
      </c>
      <c r="D371" s="1" t="s">
        <v>25</v>
      </c>
      <c r="E371" s="1" t="s">
        <v>20</v>
      </c>
      <c r="F371" s="1">
        <v>23873</v>
      </c>
      <c r="G371" s="1">
        <v>52</v>
      </c>
      <c r="H371" s="1">
        <v>358</v>
      </c>
      <c r="I371" s="1">
        <v>2.93</v>
      </c>
      <c r="J371" s="1">
        <v>45256</v>
      </c>
      <c r="K371" s="1">
        <v>69468</v>
      </c>
      <c r="L371" s="1">
        <v>12.9</v>
      </c>
      <c r="M371" s="1" t="s">
        <v>21</v>
      </c>
      <c r="N371" s="1">
        <v>35.5</v>
      </c>
      <c r="O371" s="1">
        <v>74.900000000000006</v>
      </c>
      <c r="P371" s="1">
        <v>2026</v>
      </c>
    </row>
    <row r="372" spans="1:16" ht="27.75" x14ac:dyDescent="0.2">
      <c r="A372" s="1" t="s">
        <v>416</v>
      </c>
      <c r="B372" s="1" t="s">
        <v>23</v>
      </c>
      <c r="C372" s="1" t="s">
        <v>24</v>
      </c>
      <c r="D372" s="1" t="s">
        <v>25</v>
      </c>
      <c r="E372" s="1" t="s">
        <v>26</v>
      </c>
      <c r="F372" s="1">
        <v>572826</v>
      </c>
      <c r="G372" s="1">
        <v>99</v>
      </c>
      <c r="H372" s="1">
        <v>624</v>
      </c>
      <c r="I372" s="1">
        <v>1.27</v>
      </c>
      <c r="J372" s="1">
        <v>73128</v>
      </c>
      <c r="K372" s="1">
        <v>78575</v>
      </c>
      <c r="L372" s="1">
        <v>15.2</v>
      </c>
      <c r="M372" s="1" t="s">
        <v>35</v>
      </c>
      <c r="N372" s="1">
        <v>27.7</v>
      </c>
      <c r="O372" s="1">
        <v>91.1</v>
      </c>
      <c r="P372" s="1">
        <v>2026</v>
      </c>
    </row>
    <row r="373" spans="1:16" x14ac:dyDescent="0.2">
      <c r="A373" s="1" t="s">
        <v>417</v>
      </c>
      <c r="B373" s="1" t="s">
        <v>43</v>
      </c>
      <c r="C373" s="1" t="s">
        <v>18</v>
      </c>
      <c r="D373" s="1" t="s">
        <v>44</v>
      </c>
      <c r="E373" s="1" t="s">
        <v>20</v>
      </c>
      <c r="F373" s="1">
        <v>823627</v>
      </c>
      <c r="G373" s="1">
        <v>74</v>
      </c>
      <c r="H373" s="1">
        <v>404</v>
      </c>
      <c r="I373" s="1">
        <v>0.84</v>
      </c>
      <c r="J373" s="1">
        <v>168843</v>
      </c>
      <c r="K373" s="1">
        <v>47148</v>
      </c>
      <c r="L373" s="1">
        <v>23.4</v>
      </c>
      <c r="M373" s="1" t="s">
        <v>21</v>
      </c>
      <c r="N373" s="1">
        <v>21.4</v>
      </c>
      <c r="O373" s="1">
        <v>46</v>
      </c>
      <c r="P373" s="1">
        <v>2026</v>
      </c>
    </row>
    <row r="374" spans="1:16" x14ac:dyDescent="0.2">
      <c r="A374" s="1" t="s">
        <v>418</v>
      </c>
      <c r="B374" s="1" t="s">
        <v>56</v>
      </c>
      <c r="C374" s="1" t="s">
        <v>41</v>
      </c>
      <c r="D374" s="1" t="s">
        <v>30</v>
      </c>
      <c r="E374" s="1" t="s">
        <v>34</v>
      </c>
      <c r="F374" s="1">
        <v>511745</v>
      </c>
      <c r="G374" s="1">
        <v>68</v>
      </c>
      <c r="H374" s="1">
        <v>519</v>
      </c>
      <c r="I374" s="1">
        <v>2.09</v>
      </c>
      <c r="J374" s="1">
        <v>135110</v>
      </c>
      <c r="K374" s="1">
        <v>60249</v>
      </c>
      <c r="L374" s="1">
        <v>12.9</v>
      </c>
      <c r="M374" s="1" t="s">
        <v>35</v>
      </c>
      <c r="N374" s="1">
        <v>56.6</v>
      </c>
      <c r="O374" s="1">
        <v>186.8</v>
      </c>
      <c r="P374" s="1">
        <v>2026</v>
      </c>
    </row>
    <row r="375" spans="1:16" x14ac:dyDescent="0.2">
      <c r="A375" s="1" t="s">
        <v>419</v>
      </c>
      <c r="B375" s="1" t="s">
        <v>40</v>
      </c>
      <c r="C375" s="1" t="s">
        <v>41</v>
      </c>
      <c r="D375" s="1" t="s">
        <v>73</v>
      </c>
      <c r="E375" s="1" t="s">
        <v>26</v>
      </c>
      <c r="F375" s="1">
        <v>837310</v>
      </c>
      <c r="G375" s="1">
        <v>41</v>
      </c>
      <c r="H375" s="1">
        <v>564</v>
      </c>
      <c r="I375" s="1">
        <v>0.61</v>
      </c>
      <c r="J375" s="1">
        <v>119407</v>
      </c>
      <c r="K375" s="1">
        <v>72721</v>
      </c>
      <c r="L375" s="1">
        <v>23.8</v>
      </c>
      <c r="M375" s="1" t="s">
        <v>35</v>
      </c>
      <c r="N375" s="1">
        <v>53.2</v>
      </c>
      <c r="O375" s="1">
        <v>278.5</v>
      </c>
      <c r="P375" s="1">
        <v>2026</v>
      </c>
    </row>
    <row r="376" spans="1:16" x14ac:dyDescent="0.2">
      <c r="A376" s="1" t="s">
        <v>420</v>
      </c>
      <c r="B376" s="1" t="s">
        <v>17</v>
      </c>
      <c r="C376" s="1" t="s">
        <v>18</v>
      </c>
      <c r="D376" s="1" t="s">
        <v>48</v>
      </c>
      <c r="E376" s="1" t="s">
        <v>34</v>
      </c>
      <c r="F376" s="1">
        <v>845053</v>
      </c>
      <c r="G376" s="1">
        <v>52</v>
      </c>
      <c r="H376" s="1">
        <v>315</v>
      </c>
      <c r="I376" s="1">
        <v>1.5</v>
      </c>
      <c r="J376" s="1">
        <v>190498</v>
      </c>
      <c r="K376" s="1">
        <v>37143</v>
      </c>
      <c r="L376" s="1">
        <v>23.9</v>
      </c>
      <c r="M376" s="1" t="s">
        <v>35</v>
      </c>
      <c r="N376" s="1">
        <v>38.9</v>
      </c>
      <c r="O376" s="1">
        <v>122.3</v>
      </c>
      <c r="P376" s="1">
        <v>2026</v>
      </c>
    </row>
    <row r="377" spans="1:16" x14ac:dyDescent="0.2">
      <c r="A377" s="1" t="s">
        <v>421</v>
      </c>
      <c r="B377" s="1" t="s">
        <v>43</v>
      </c>
      <c r="C377" s="1" t="s">
        <v>18</v>
      </c>
      <c r="D377" s="1" t="s">
        <v>30</v>
      </c>
      <c r="E377" s="1" t="s">
        <v>20</v>
      </c>
      <c r="F377" s="1">
        <v>190031</v>
      </c>
      <c r="G377" s="1">
        <v>95</v>
      </c>
      <c r="H377" s="1">
        <v>640</v>
      </c>
      <c r="I377" s="1">
        <v>2.2000000000000002</v>
      </c>
      <c r="J377" s="1">
        <v>68609</v>
      </c>
      <c r="K377" s="1">
        <v>38889</v>
      </c>
      <c r="L377" s="1">
        <v>23.4</v>
      </c>
      <c r="M377" s="1" t="s">
        <v>35</v>
      </c>
      <c r="N377" s="1">
        <v>31.6</v>
      </c>
      <c r="O377" s="1">
        <v>288.8</v>
      </c>
      <c r="P377" s="1">
        <v>2026</v>
      </c>
    </row>
    <row r="378" spans="1:16" x14ac:dyDescent="0.2">
      <c r="A378" s="1" t="s">
        <v>422</v>
      </c>
      <c r="B378" s="1" t="s">
        <v>40</v>
      </c>
      <c r="C378" s="1" t="s">
        <v>41</v>
      </c>
      <c r="D378" s="1" t="s">
        <v>19</v>
      </c>
      <c r="E378" s="1" t="s">
        <v>26</v>
      </c>
      <c r="F378" s="1">
        <v>770327</v>
      </c>
      <c r="G378" s="1">
        <v>92</v>
      </c>
      <c r="H378" s="1">
        <v>498</v>
      </c>
      <c r="I378" s="1">
        <v>2.4</v>
      </c>
      <c r="J378" s="1">
        <v>81692</v>
      </c>
      <c r="K378" s="1">
        <v>46100</v>
      </c>
      <c r="L378" s="1">
        <v>25</v>
      </c>
      <c r="M378" s="1" t="s">
        <v>21</v>
      </c>
      <c r="N378" s="1">
        <v>43</v>
      </c>
      <c r="O378" s="1">
        <v>223.9</v>
      </c>
      <c r="P378" s="1">
        <v>2026</v>
      </c>
    </row>
    <row r="379" spans="1:16" x14ac:dyDescent="0.2">
      <c r="A379" s="1" t="s">
        <v>423</v>
      </c>
      <c r="B379" s="1" t="s">
        <v>56</v>
      </c>
      <c r="C379" s="1" t="s">
        <v>41</v>
      </c>
      <c r="D379" s="1" t="s">
        <v>37</v>
      </c>
      <c r="E379" s="1" t="s">
        <v>38</v>
      </c>
      <c r="F379" s="1">
        <v>143337</v>
      </c>
      <c r="G379" s="1">
        <v>116</v>
      </c>
      <c r="H379" s="1">
        <v>513</v>
      </c>
      <c r="I379" s="1">
        <v>1.49</v>
      </c>
      <c r="J379" s="1">
        <v>126184</v>
      </c>
      <c r="K379" s="1">
        <v>56761</v>
      </c>
      <c r="L379" s="1">
        <v>16</v>
      </c>
      <c r="M379" s="1" t="s">
        <v>35</v>
      </c>
      <c r="N379" s="1">
        <v>10</v>
      </c>
      <c r="O379" s="1">
        <v>85.7</v>
      </c>
      <c r="P379" s="1">
        <v>2026</v>
      </c>
    </row>
    <row r="380" spans="1:16" ht="27.75" x14ac:dyDescent="0.2">
      <c r="A380" s="1" t="s">
        <v>424</v>
      </c>
      <c r="B380" s="1" t="s">
        <v>62</v>
      </c>
      <c r="C380" s="1" t="s">
        <v>41</v>
      </c>
      <c r="D380" s="1" t="s">
        <v>48</v>
      </c>
      <c r="E380" s="1" t="s">
        <v>34</v>
      </c>
      <c r="F380" s="1">
        <v>411813</v>
      </c>
      <c r="G380" s="1">
        <v>68</v>
      </c>
      <c r="H380" s="1">
        <v>402</v>
      </c>
      <c r="I380" s="1">
        <v>0.95</v>
      </c>
      <c r="J380" s="1">
        <v>75295</v>
      </c>
      <c r="K380" s="1">
        <v>31276</v>
      </c>
      <c r="L380" s="1">
        <v>18.399999999999999</v>
      </c>
      <c r="M380" s="1" t="s">
        <v>35</v>
      </c>
      <c r="N380" s="1">
        <v>38.4</v>
      </c>
      <c r="O380" s="1">
        <v>93.4</v>
      </c>
      <c r="P380" s="1">
        <v>2026</v>
      </c>
    </row>
    <row r="381" spans="1:16" ht="27.75" x14ac:dyDescent="0.2">
      <c r="A381" s="1" t="s">
        <v>425</v>
      </c>
      <c r="B381" s="1" t="s">
        <v>50</v>
      </c>
      <c r="C381" s="1" t="s">
        <v>24</v>
      </c>
      <c r="D381" s="1" t="s">
        <v>59</v>
      </c>
      <c r="E381" s="1" t="s">
        <v>20</v>
      </c>
      <c r="F381" s="1">
        <v>694782</v>
      </c>
      <c r="G381" s="1">
        <v>51</v>
      </c>
      <c r="H381" s="1">
        <v>336</v>
      </c>
      <c r="I381" s="1">
        <v>2.83</v>
      </c>
      <c r="J381" s="1">
        <v>20912</v>
      </c>
      <c r="K381" s="1">
        <v>43579</v>
      </c>
      <c r="L381" s="1">
        <v>16.399999999999999</v>
      </c>
      <c r="M381" s="1" t="s">
        <v>35</v>
      </c>
      <c r="N381" s="1">
        <v>25</v>
      </c>
      <c r="O381" s="1">
        <v>72.2</v>
      </c>
      <c r="P381" s="1">
        <v>2026</v>
      </c>
    </row>
    <row r="382" spans="1:16" ht="27.75" x14ac:dyDescent="0.2">
      <c r="A382" s="1" t="s">
        <v>426</v>
      </c>
      <c r="B382" s="1" t="s">
        <v>23</v>
      </c>
      <c r="C382" s="1" t="s">
        <v>24</v>
      </c>
      <c r="D382" s="1" t="s">
        <v>48</v>
      </c>
      <c r="E382" s="1" t="s">
        <v>34</v>
      </c>
      <c r="F382" s="1">
        <v>227289</v>
      </c>
      <c r="G382" s="1">
        <v>118</v>
      </c>
      <c r="H382" s="1">
        <v>293</v>
      </c>
      <c r="I382" s="1">
        <v>0.54</v>
      </c>
      <c r="J382" s="1">
        <v>59043</v>
      </c>
      <c r="K382" s="1">
        <v>34927</v>
      </c>
      <c r="L382" s="1">
        <v>24.7</v>
      </c>
      <c r="M382" s="1" t="s">
        <v>21</v>
      </c>
      <c r="N382" s="1">
        <v>25.8</v>
      </c>
      <c r="O382" s="1">
        <v>158.1</v>
      </c>
      <c r="P382" s="1">
        <v>2026</v>
      </c>
    </row>
    <row r="383" spans="1:16" x14ac:dyDescent="0.2">
      <c r="A383" s="1" t="s">
        <v>427</v>
      </c>
      <c r="B383" s="1" t="s">
        <v>67</v>
      </c>
      <c r="C383" s="1" t="s">
        <v>18</v>
      </c>
      <c r="D383" s="1" t="s">
        <v>48</v>
      </c>
      <c r="E383" s="1" t="s">
        <v>34</v>
      </c>
      <c r="F383" s="1">
        <v>231185</v>
      </c>
      <c r="G383" s="1">
        <v>97</v>
      </c>
      <c r="H383" s="1">
        <v>538</v>
      </c>
      <c r="I383" s="1">
        <v>2.17</v>
      </c>
      <c r="J383" s="1">
        <v>151215</v>
      </c>
      <c r="K383" s="1">
        <v>48785</v>
      </c>
      <c r="L383" s="1">
        <v>13.8</v>
      </c>
      <c r="M383" s="1" t="s">
        <v>35</v>
      </c>
      <c r="N383" s="1">
        <v>35</v>
      </c>
      <c r="O383" s="1">
        <v>152.9</v>
      </c>
      <c r="P383" s="1">
        <v>2026</v>
      </c>
    </row>
    <row r="384" spans="1:16" x14ac:dyDescent="0.2">
      <c r="A384" s="1" t="s">
        <v>428</v>
      </c>
      <c r="B384" s="1" t="s">
        <v>67</v>
      </c>
      <c r="C384" s="1" t="s">
        <v>18</v>
      </c>
      <c r="D384" s="1" t="s">
        <v>19</v>
      </c>
      <c r="E384" s="1" t="s">
        <v>34</v>
      </c>
      <c r="F384" s="1">
        <v>265482</v>
      </c>
      <c r="G384" s="1">
        <v>105</v>
      </c>
      <c r="H384" s="1">
        <v>598</v>
      </c>
      <c r="I384" s="1">
        <v>1.66</v>
      </c>
      <c r="J384" s="1">
        <v>172769</v>
      </c>
      <c r="K384" s="1">
        <v>69838</v>
      </c>
      <c r="L384" s="1">
        <v>17.399999999999999</v>
      </c>
      <c r="M384" s="1" t="s">
        <v>21</v>
      </c>
      <c r="N384" s="1">
        <v>45.3</v>
      </c>
      <c r="O384" s="1">
        <v>260</v>
      </c>
      <c r="P384" s="1">
        <v>2026</v>
      </c>
    </row>
    <row r="385" spans="1:16" x14ac:dyDescent="0.2">
      <c r="A385" s="1" t="s">
        <v>429</v>
      </c>
      <c r="B385" s="1" t="s">
        <v>43</v>
      </c>
      <c r="C385" s="1" t="s">
        <v>18</v>
      </c>
      <c r="D385" s="1" t="s">
        <v>48</v>
      </c>
      <c r="E385" s="1" t="s">
        <v>38</v>
      </c>
      <c r="F385" s="1">
        <v>423608</v>
      </c>
      <c r="G385" s="1">
        <v>48</v>
      </c>
      <c r="H385" s="1">
        <v>618</v>
      </c>
      <c r="I385" s="1">
        <v>2.57</v>
      </c>
      <c r="J385" s="1">
        <v>109682</v>
      </c>
      <c r="K385" s="1">
        <v>45522</v>
      </c>
      <c r="L385" s="1">
        <v>13.8</v>
      </c>
      <c r="M385" s="1" t="s">
        <v>21</v>
      </c>
      <c r="N385" s="1">
        <v>64.5</v>
      </c>
      <c r="O385" s="1">
        <v>212.5</v>
      </c>
      <c r="P385" s="1">
        <v>2026</v>
      </c>
    </row>
    <row r="386" spans="1:16" x14ac:dyDescent="0.2">
      <c r="A386" s="1" t="s">
        <v>430</v>
      </c>
      <c r="B386" s="1" t="s">
        <v>28</v>
      </c>
      <c r="C386" s="1" t="s">
        <v>29</v>
      </c>
      <c r="D386" s="1" t="s">
        <v>37</v>
      </c>
      <c r="E386" s="1" t="s">
        <v>20</v>
      </c>
      <c r="F386" s="1">
        <v>147629</v>
      </c>
      <c r="G386" s="1">
        <v>60</v>
      </c>
      <c r="H386" s="1">
        <v>551</v>
      </c>
      <c r="I386" s="1">
        <v>2.44</v>
      </c>
      <c r="J386" s="1">
        <v>186796</v>
      </c>
      <c r="K386" s="1">
        <v>76826</v>
      </c>
      <c r="L386" s="1">
        <v>23.6</v>
      </c>
      <c r="M386" s="1" t="s">
        <v>35</v>
      </c>
      <c r="N386" s="1">
        <v>12.9</v>
      </c>
      <c r="O386" s="1">
        <v>186.5</v>
      </c>
      <c r="P386" s="1">
        <v>2026</v>
      </c>
    </row>
    <row r="387" spans="1:16" x14ac:dyDescent="0.2">
      <c r="A387" s="1" t="s">
        <v>431</v>
      </c>
      <c r="B387" s="1" t="s">
        <v>40</v>
      </c>
      <c r="C387" s="1" t="s">
        <v>41</v>
      </c>
      <c r="D387" s="1" t="s">
        <v>46</v>
      </c>
      <c r="E387" s="1" t="s">
        <v>38</v>
      </c>
      <c r="F387" s="1">
        <v>151329</v>
      </c>
      <c r="G387" s="1">
        <v>47</v>
      </c>
      <c r="H387" s="1">
        <v>488</v>
      </c>
      <c r="I387" s="1">
        <v>1.18</v>
      </c>
      <c r="J387" s="1">
        <v>120572</v>
      </c>
      <c r="K387" s="1">
        <v>46403</v>
      </c>
      <c r="L387" s="1">
        <v>17.600000000000001</v>
      </c>
      <c r="M387" s="1" t="s">
        <v>21</v>
      </c>
      <c r="N387" s="1">
        <v>22.3</v>
      </c>
      <c r="O387" s="1">
        <v>195.3</v>
      </c>
      <c r="P387" s="1">
        <v>2026</v>
      </c>
    </row>
    <row r="388" spans="1:16" x14ac:dyDescent="0.2">
      <c r="A388" s="1" t="s">
        <v>432</v>
      </c>
      <c r="B388" s="1" t="s">
        <v>53</v>
      </c>
      <c r="C388" s="1" t="s">
        <v>41</v>
      </c>
      <c r="D388" s="1" t="s">
        <v>73</v>
      </c>
      <c r="E388" s="1" t="s">
        <v>20</v>
      </c>
      <c r="F388" s="1">
        <v>201714</v>
      </c>
      <c r="G388" s="1">
        <v>75</v>
      </c>
      <c r="H388" s="1">
        <v>452</v>
      </c>
      <c r="I388" s="1">
        <v>2.86</v>
      </c>
      <c r="J388" s="1">
        <v>32730</v>
      </c>
      <c r="K388" s="1">
        <v>67929</v>
      </c>
      <c r="L388" s="1">
        <v>23.4</v>
      </c>
      <c r="M388" s="1" t="s">
        <v>21</v>
      </c>
      <c r="N388" s="1">
        <v>43.9</v>
      </c>
      <c r="O388" s="1">
        <v>59.5</v>
      </c>
      <c r="P388" s="1">
        <v>2026</v>
      </c>
    </row>
    <row r="389" spans="1:16" x14ac:dyDescent="0.2">
      <c r="A389" s="1" t="s">
        <v>433</v>
      </c>
      <c r="B389" s="1" t="s">
        <v>28</v>
      </c>
      <c r="C389" s="1" t="s">
        <v>29</v>
      </c>
      <c r="D389" s="1" t="s">
        <v>30</v>
      </c>
      <c r="E389" s="1" t="s">
        <v>38</v>
      </c>
      <c r="F389" s="1">
        <v>567144</v>
      </c>
      <c r="G389" s="1">
        <v>57</v>
      </c>
      <c r="H389" s="1">
        <v>622</v>
      </c>
      <c r="I389" s="1">
        <v>1.34</v>
      </c>
      <c r="J389" s="1">
        <v>135897</v>
      </c>
      <c r="K389" s="1">
        <v>42229</v>
      </c>
      <c r="L389" s="1">
        <v>17.399999999999999</v>
      </c>
      <c r="M389" s="1" t="s">
        <v>21</v>
      </c>
      <c r="N389" s="1">
        <v>9.5</v>
      </c>
      <c r="O389" s="1">
        <v>90.6</v>
      </c>
      <c r="P389" s="1">
        <v>2026</v>
      </c>
    </row>
    <row r="390" spans="1:16" x14ac:dyDescent="0.2">
      <c r="A390" s="1" t="s">
        <v>434</v>
      </c>
      <c r="B390" s="1" t="s">
        <v>28</v>
      </c>
      <c r="C390" s="1" t="s">
        <v>29</v>
      </c>
      <c r="D390" s="1" t="s">
        <v>30</v>
      </c>
      <c r="E390" s="1" t="s">
        <v>34</v>
      </c>
      <c r="F390" s="1">
        <v>228693</v>
      </c>
      <c r="G390" s="1">
        <v>70</v>
      </c>
      <c r="H390" s="1">
        <v>425</v>
      </c>
      <c r="I390" s="1">
        <v>1.33</v>
      </c>
      <c r="J390" s="1">
        <v>134626</v>
      </c>
      <c r="K390" s="1">
        <v>25567</v>
      </c>
      <c r="L390" s="1">
        <v>21.6</v>
      </c>
      <c r="M390" s="1" t="s">
        <v>21</v>
      </c>
      <c r="N390" s="1">
        <v>14.6</v>
      </c>
      <c r="O390" s="1">
        <v>272.5</v>
      </c>
      <c r="P390" s="1">
        <v>2026</v>
      </c>
    </row>
    <row r="391" spans="1:16" ht="27.75" x14ac:dyDescent="0.2">
      <c r="A391" s="1" t="s">
        <v>435</v>
      </c>
      <c r="B391" s="1" t="s">
        <v>23</v>
      </c>
      <c r="C391" s="1" t="s">
        <v>24</v>
      </c>
      <c r="D391" s="1" t="s">
        <v>59</v>
      </c>
      <c r="E391" s="1" t="s">
        <v>34</v>
      </c>
      <c r="F391" s="1">
        <v>808705</v>
      </c>
      <c r="G391" s="1">
        <v>78</v>
      </c>
      <c r="H391" s="1">
        <v>254</v>
      </c>
      <c r="I391" s="1">
        <v>2.5099999999999998</v>
      </c>
      <c r="J391" s="1">
        <v>111948</v>
      </c>
      <c r="K391" s="1">
        <v>47635</v>
      </c>
      <c r="L391" s="1">
        <v>18.399999999999999</v>
      </c>
      <c r="M391" s="1" t="s">
        <v>35</v>
      </c>
      <c r="N391" s="1">
        <v>24.4</v>
      </c>
      <c r="O391" s="1">
        <v>45.3</v>
      </c>
      <c r="P391" s="1">
        <v>2026</v>
      </c>
    </row>
    <row r="392" spans="1:16" ht="27.75" x14ac:dyDescent="0.2">
      <c r="A392" s="1" t="s">
        <v>436</v>
      </c>
      <c r="B392" s="1" t="s">
        <v>23</v>
      </c>
      <c r="C392" s="1" t="s">
        <v>24</v>
      </c>
      <c r="D392" s="1" t="s">
        <v>44</v>
      </c>
      <c r="E392" s="1" t="s">
        <v>26</v>
      </c>
      <c r="F392" s="1">
        <v>425940</v>
      </c>
      <c r="G392" s="1">
        <v>103</v>
      </c>
      <c r="H392" s="1">
        <v>486</v>
      </c>
      <c r="I392" s="1">
        <v>2.25</v>
      </c>
      <c r="J392" s="1">
        <v>179989</v>
      </c>
      <c r="K392" s="1">
        <v>56184</v>
      </c>
      <c r="L392" s="1">
        <v>12.5</v>
      </c>
      <c r="M392" s="1" t="s">
        <v>21</v>
      </c>
      <c r="N392" s="1">
        <v>29.9</v>
      </c>
      <c r="O392" s="1">
        <v>67.099999999999994</v>
      </c>
      <c r="P392" s="1">
        <v>2026</v>
      </c>
    </row>
    <row r="393" spans="1:16" x14ac:dyDescent="0.2">
      <c r="A393" s="1" t="s">
        <v>437</v>
      </c>
      <c r="B393" s="1" t="s">
        <v>56</v>
      </c>
      <c r="C393" s="1" t="s">
        <v>41</v>
      </c>
      <c r="D393" s="1" t="s">
        <v>30</v>
      </c>
      <c r="E393" s="1" t="s">
        <v>34</v>
      </c>
      <c r="F393" s="1">
        <v>358283</v>
      </c>
      <c r="G393" s="1">
        <v>73</v>
      </c>
      <c r="H393" s="1">
        <v>363</v>
      </c>
      <c r="I393" s="1">
        <v>0.65</v>
      </c>
      <c r="J393" s="1">
        <v>116105</v>
      </c>
      <c r="K393" s="1">
        <v>49567</v>
      </c>
      <c r="L393" s="1">
        <v>18.7</v>
      </c>
      <c r="M393" s="1" t="s">
        <v>35</v>
      </c>
      <c r="N393" s="1">
        <v>38</v>
      </c>
      <c r="O393" s="1">
        <v>213.7</v>
      </c>
      <c r="P393" s="1">
        <v>2026</v>
      </c>
    </row>
    <row r="394" spans="1:16" x14ac:dyDescent="0.2">
      <c r="A394" s="1" t="s">
        <v>438</v>
      </c>
      <c r="B394" s="1" t="s">
        <v>28</v>
      </c>
      <c r="C394" s="1" t="s">
        <v>29</v>
      </c>
      <c r="D394" s="1" t="s">
        <v>46</v>
      </c>
      <c r="E394" s="1" t="s">
        <v>34</v>
      </c>
      <c r="F394" s="1">
        <v>24441</v>
      </c>
      <c r="G394" s="1">
        <v>57</v>
      </c>
      <c r="H394" s="1">
        <v>395</v>
      </c>
      <c r="I394" s="1">
        <v>1.73</v>
      </c>
      <c r="J394" s="1">
        <v>140634</v>
      </c>
      <c r="K394" s="1">
        <v>74685</v>
      </c>
      <c r="L394" s="1">
        <v>24.2</v>
      </c>
      <c r="M394" s="1" t="s">
        <v>21</v>
      </c>
      <c r="N394" s="1">
        <v>43.3</v>
      </c>
      <c r="O394" s="1">
        <v>206.1</v>
      </c>
      <c r="P394" s="1">
        <v>2026</v>
      </c>
    </row>
    <row r="395" spans="1:16" x14ac:dyDescent="0.2">
      <c r="A395" s="1" t="s">
        <v>439</v>
      </c>
      <c r="B395" s="1" t="s">
        <v>28</v>
      </c>
      <c r="C395" s="1" t="s">
        <v>29</v>
      </c>
      <c r="D395" s="1" t="s">
        <v>32</v>
      </c>
      <c r="E395" s="1" t="s">
        <v>20</v>
      </c>
      <c r="F395" s="1">
        <v>436925</v>
      </c>
      <c r="G395" s="1">
        <v>101</v>
      </c>
      <c r="H395" s="1">
        <v>640</v>
      </c>
      <c r="I395" s="1">
        <v>2.79</v>
      </c>
      <c r="J395" s="1">
        <v>23508</v>
      </c>
      <c r="K395" s="1">
        <v>27708</v>
      </c>
      <c r="L395" s="1">
        <v>13</v>
      </c>
      <c r="M395" s="1" t="s">
        <v>21</v>
      </c>
      <c r="N395" s="1">
        <v>26.6</v>
      </c>
      <c r="O395" s="1">
        <v>213.9</v>
      </c>
      <c r="P395" s="1">
        <v>2026</v>
      </c>
    </row>
    <row r="396" spans="1:16" x14ac:dyDescent="0.2">
      <c r="A396" s="1" t="s">
        <v>440</v>
      </c>
      <c r="B396" s="1" t="s">
        <v>56</v>
      </c>
      <c r="C396" s="1" t="s">
        <v>41</v>
      </c>
      <c r="D396" s="1" t="s">
        <v>46</v>
      </c>
      <c r="E396" s="1" t="s">
        <v>38</v>
      </c>
      <c r="F396" s="1">
        <v>147833</v>
      </c>
      <c r="G396" s="1">
        <v>93</v>
      </c>
      <c r="H396" s="1">
        <v>272</v>
      </c>
      <c r="I396" s="1">
        <v>1.46</v>
      </c>
      <c r="J396" s="1">
        <v>190758</v>
      </c>
      <c r="K396" s="1">
        <v>51993</v>
      </c>
      <c r="L396" s="1">
        <v>17.5</v>
      </c>
      <c r="M396" s="1" t="s">
        <v>35</v>
      </c>
      <c r="N396" s="1">
        <v>30.8</v>
      </c>
      <c r="O396" s="1">
        <v>9.6</v>
      </c>
      <c r="P396" s="1">
        <v>2026</v>
      </c>
    </row>
    <row r="397" spans="1:16" x14ac:dyDescent="0.2">
      <c r="A397" s="1" t="s">
        <v>441</v>
      </c>
      <c r="B397" s="1" t="s">
        <v>28</v>
      </c>
      <c r="C397" s="1" t="s">
        <v>29</v>
      </c>
      <c r="D397" s="1" t="s">
        <v>48</v>
      </c>
      <c r="E397" s="1" t="s">
        <v>38</v>
      </c>
      <c r="F397" s="1">
        <v>546165</v>
      </c>
      <c r="G397" s="1">
        <v>58</v>
      </c>
      <c r="H397" s="1">
        <v>560</v>
      </c>
      <c r="I397" s="1">
        <v>2.48</v>
      </c>
      <c r="J397" s="1">
        <v>190863</v>
      </c>
      <c r="K397" s="1">
        <v>59230</v>
      </c>
      <c r="L397" s="1">
        <v>19</v>
      </c>
      <c r="M397" s="1" t="s">
        <v>35</v>
      </c>
      <c r="N397" s="1">
        <v>33.299999999999997</v>
      </c>
      <c r="O397" s="1">
        <v>93.8</v>
      </c>
      <c r="P397" s="1">
        <v>2026</v>
      </c>
    </row>
    <row r="398" spans="1:16" x14ac:dyDescent="0.2">
      <c r="A398" s="1" t="s">
        <v>442</v>
      </c>
      <c r="B398" s="1" t="s">
        <v>67</v>
      </c>
      <c r="C398" s="1" t="s">
        <v>18</v>
      </c>
      <c r="D398" s="1" t="s">
        <v>37</v>
      </c>
      <c r="E398" s="1" t="s">
        <v>34</v>
      </c>
      <c r="F398" s="1">
        <v>465839</v>
      </c>
      <c r="G398" s="1">
        <v>102</v>
      </c>
      <c r="H398" s="1">
        <v>608</v>
      </c>
      <c r="I398" s="1">
        <v>2.5</v>
      </c>
      <c r="J398" s="1">
        <v>192348</v>
      </c>
      <c r="K398" s="1">
        <v>36029</v>
      </c>
      <c r="L398" s="1">
        <v>12.8</v>
      </c>
      <c r="M398" s="1" t="s">
        <v>21</v>
      </c>
      <c r="N398" s="1">
        <v>24.5</v>
      </c>
      <c r="O398" s="1">
        <v>238.8</v>
      </c>
      <c r="P398" s="1">
        <v>2026</v>
      </c>
    </row>
    <row r="399" spans="1:16" x14ac:dyDescent="0.2">
      <c r="A399" s="1" t="s">
        <v>443</v>
      </c>
      <c r="B399" s="1" t="s">
        <v>43</v>
      </c>
      <c r="C399" s="1" t="s">
        <v>18</v>
      </c>
      <c r="D399" s="1" t="s">
        <v>46</v>
      </c>
      <c r="E399" s="1" t="s">
        <v>34</v>
      </c>
      <c r="F399" s="1">
        <v>316334</v>
      </c>
      <c r="G399" s="1">
        <v>95</v>
      </c>
      <c r="H399" s="1">
        <v>521</v>
      </c>
      <c r="I399" s="1">
        <v>1.58</v>
      </c>
      <c r="J399" s="1">
        <v>83663</v>
      </c>
      <c r="K399" s="1">
        <v>50787</v>
      </c>
      <c r="L399" s="1">
        <v>21.1</v>
      </c>
      <c r="M399" s="1" t="s">
        <v>21</v>
      </c>
      <c r="N399" s="1">
        <v>17.3</v>
      </c>
      <c r="O399" s="1">
        <v>184.1</v>
      </c>
      <c r="P399" s="1">
        <v>2026</v>
      </c>
    </row>
    <row r="400" spans="1:16" ht="27.75" x14ac:dyDescent="0.2">
      <c r="A400" s="1" t="s">
        <v>444</v>
      </c>
      <c r="B400" s="1" t="s">
        <v>62</v>
      </c>
      <c r="C400" s="1" t="s">
        <v>41</v>
      </c>
      <c r="D400" s="1" t="s">
        <v>25</v>
      </c>
      <c r="E400" s="1" t="s">
        <v>20</v>
      </c>
      <c r="F400" s="1">
        <v>256795</v>
      </c>
      <c r="G400" s="1">
        <v>47</v>
      </c>
      <c r="H400" s="1">
        <v>538</v>
      </c>
      <c r="I400" s="1">
        <v>1.78</v>
      </c>
      <c r="J400" s="1">
        <v>109364</v>
      </c>
      <c r="K400" s="1">
        <v>82058</v>
      </c>
      <c r="L400" s="1">
        <v>20.3</v>
      </c>
      <c r="M400" s="1" t="s">
        <v>35</v>
      </c>
      <c r="N400" s="1">
        <v>26.7</v>
      </c>
      <c r="O400" s="1">
        <v>260.3</v>
      </c>
      <c r="P400" s="1">
        <v>2026</v>
      </c>
    </row>
    <row r="401" spans="1:16" x14ac:dyDescent="0.2">
      <c r="A401" s="1" t="s">
        <v>445</v>
      </c>
      <c r="B401" s="1" t="s">
        <v>28</v>
      </c>
      <c r="C401" s="1" t="s">
        <v>29</v>
      </c>
      <c r="D401" s="1" t="s">
        <v>48</v>
      </c>
      <c r="E401" s="1" t="s">
        <v>20</v>
      </c>
      <c r="F401" s="1">
        <v>198942</v>
      </c>
      <c r="G401" s="1">
        <v>106</v>
      </c>
      <c r="H401" s="1">
        <v>520</v>
      </c>
      <c r="I401" s="1">
        <v>1.1599999999999999</v>
      </c>
      <c r="J401" s="1">
        <v>171992</v>
      </c>
      <c r="K401" s="1">
        <v>75533</v>
      </c>
      <c r="L401" s="1">
        <v>21</v>
      </c>
      <c r="M401" s="1" t="s">
        <v>21</v>
      </c>
      <c r="N401" s="1">
        <v>53.8</v>
      </c>
      <c r="O401" s="1">
        <v>90.2</v>
      </c>
      <c r="P401" s="1">
        <v>2026</v>
      </c>
    </row>
    <row r="402" spans="1:16" ht="27.75" x14ac:dyDescent="0.2">
      <c r="A402" s="1" t="s">
        <v>446</v>
      </c>
      <c r="B402" s="1" t="s">
        <v>23</v>
      </c>
      <c r="C402" s="1" t="s">
        <v>24</v>
      </c>
      <c r="D402" s="1" t="s">
        <v>37</v>
      </c>
      <c r="E402" s="1" t="s">
        <v>20</v>
      </c>
      <c r="F402" s="1">
        <v>764498</v>
      </c>
      <c r="G402" s="1">
        <v>109</v>
      </c>
      <c r="H402" s="1">
        <v>309</v>
      </c>
      <c r="I402" s="1">
        <v>1.47</v>
      </c>
      <c r="J402" s="1">
        <v>96985</v>
      </c>
      <c r="K402" s="1">
        <v>47209</v>
      </c>
      <c r="L402" s="1">
        <v>13.6</v>
      </c>
      <c r="M402" s="1" t="s">
        <v>35</v>
      </c>
      <c r="N402" s="1">
        <v>15.6</v>
      </c>
      <c r="O402" s="1">
        <v>211.2</v>
      </c>
      <c r="P402" s="1">
        <v>2026</v>
      </c>
    </row>
    <row r="403" spans="1:16" x14ac:dyDescent="0.2">
      <c r="A403" s="1" t="s">
        <v>447</v>
      </c>
      <c r="B403" s="1" t="s">
        <v>17</v>
      </c>
      <c r="C403" s="1" t="s">
        <v>18</v>
      </c>
      <c r="D403" s="1" t="s">
        <v>32</v>
      </c>
      <c r="E403" s="1" t="s">
        <v>20</v>
      </c>
      <c r="F403" s="1">
        <v>621346</v>
      </c>
      <c r="G403" s="1">
        <v>106</v>
      </c>
      <c r="H403" s="1">
        <v>363</v>
      </c>
      <c r="I403" s="1">
        <v>0.8</v>
      </c>
      <c r="J403" s="1">
        <v>141370</v>
      </c>
      <c r="K403" s="1">
        <v>75753</v>
      </c>
      <c r="L403" s="1">
        <v>18.899999999999999</v>
      </c>
      <c r="M403" s="1" t="s">
        <v>35</v>
      </c>
      <c r="N403" s="1">
        <v>5.6</v>
      </c>
      <c r="O403" s="1">
        <v>274.3</v>
      </c>
      <c r="P403" s="1">
        <v>2026</v>
      </c>
    </row>
    <row r="404" spans="1:16" x14ac:dyDescent="0.2">
      <c r="A404" s="1" t="s">
        <v>448</v>
      </c>
      <c r="B404" s="1" t="s">
        <v>43</v>
      </c>
      <c r="C404" s="1" t="s">
        <v>18</v>
      </c>
      <c r="D404" s="1" t="s">
        <v>19</v>
      </c>
      <c r="E404" s="1" t="s">
        <v>34</v>
      </c>
      <c r="F404" s="1">
        <v>628695</v>
      </c>
      <c r="G404" s="1">
        <v>57</v>
      </c>
      <c r="H404" s="1">
        <v>387</v>
      </c>
      <c r="I404" s="1">
        <v>1.74</v>
      </c>
      <c r="J404" s="1">
        <v>134091</v>
      </c>
      <c r="K404" s="1">
        <v>31570</v>
      </c>
      <c r="L404" s="1">
        <v>18.100000000000001</v>
      </c>
      <c r="M404" s="1" t="s">
        <v>35</v>
      </c>
      <c r="N404" s="1">
        <v>50.9</v>
      </c>
      <c r="O404" s="1">
        <v>16.2</v>
      </c>
      <c r="P404" s="1">
        <v>2026</v>
      </c>
    </row>
    <row r="405" spans="1:16" x14ac:dyDescent="0.2">
      <c r="A405" s="1" t="s">
        <v>449</v>
      </c>
      <c r="B405" s="1" t="s">
        <v>17</v>
      </c>
      <c r="C405" s="1" t="s">
        <v>18</v>
      </c>
      <c r="D405" s="1" t="s">
        <v>46</v>
      </c>
      <c r="E405" s="1" t="s">
        <v>20</v>
      </c>
      <c r="F405" s="1">
        <v>316188</v>
      </c>
      <c r="G405" s="1">
        <v>46</v>
      </c>
      <c r="H405" s="1">
        <v>263</v>
      </c>
      <c r="I405" s="1">
        <v>1.33</v>
      </c>
      <c r="J405" s="1">
        <v>28666</v>
      </c>
      <c r="K405" s="1">
        <v>56699</v>
      </c>
      <c r="L405" s="1">
        <v>22.4</v>
      </c>
      <c r="M405" s="1" t="s">
        <v>35</v>
      </c>
      <c r="N405" s="1">
        <v>7.4</v>
      </c>
      <c r="O405" s="1">
        <v>246.5</v>
      </c>
      <c r="P405" s="1">
        <v>2026</v>
      </c>
    </row>
    <row r="406" spans="1:16" x14ac:dyDescent="0.2">
      <c r="A406" s="1" t="s">
        <v>450</v>
      </c>
      <c r="B406" s="1" t="s">
        <v>67</v>
      </c>
      <c r="C406" s="1" t="s">
        <v>18</v>
      </c>
      <c r="D406" s="1" t="s">
        <v>46</v>
      </c>
      <c r="E406" s="1" t="s">
        <v>26</v>
      </c>
      <c r="F406" s="1">
        <v>519619</v>
      </c>
      <c r="G406" s="1">
        <v>73</v>
      </c>
      <c r="H406" s="1">
        <v>438</v>
      </c>
      <c r="I406" s="1">
        <v>2.9</v>
      </c>
      <c r="J406" s="1">
        <v>45451</v>
      </c>
      <c r="K406" s="1">
        <v>72257</v>
      </c>
      <c r="L406" s="1">
        <v>13.7</v>
      </c>
      <c r="M406" s="1" t="s">
        <v>21</v>
      </c>
      <c r="N406" s="1">
        <v>28.2</v>
      </c>
      <c r="O406" s="1">
        <v>183.6</v>
      </c>
      <c r="P406" s="1">
        <v>2026</v>
      </c>
    </row>
    <row r="407" spans="1:16" x14ac:dyDescent="0.2">
      <c r="A407" s="1" t="s">
        <v>451</v>
      </c>
      <c r="B407" s="1" t="s">
        <v>28</v>
      </c>
      <c r="C407" s="1" t="s">
        <v>29</v>
      </c>
      <c r="D407" s="1" t="s">
        <v>37</v>
      </c>
      <c r="E407" s="1" t="s">
        <v>26</v>
      </c>
      <c r="F407" s="1">
        <v>136861</v>
      </c>
      <c r="G407" s="1">
        <v>78</v>
      </c>
      <c r="H407" s="1">
        <v>482</v>
      </c>
      <c r="I407" s="1">
        <v>0.74</v>
      </c>
      <c r="J407" s="1">
        <v>197100</v>
      </c>
      <c r="K407" s="1">
        <v>64540</v>
      </c>
      <c r="L407" s="1">
        <v>16.7</v>
      </c>
      <c r="M407" s="1" t="s">
        <v>21</v>
      </c>
      <c r="N407" s="1">
        <v>58.6</v>
      </c>
      <c r="O407" s="1">
        <v>145.9</v>
      </c>
      <c r="P407" s="1">
        <v>2026</v>
      </c>
    </row>
    <row r="408" spans="1:16" x14ac:dyDescent="0.2">
      <c r="A408" s="1" t="s">
        <v>452</v>
      </c>
      <c r="B408" s="1" t="s">
        <v>40</v>
      </c>
      <c r="C408" s="1" t="s">
        <v>41</v>
      </c>
      <c r="D408" s="1" t="s">
        <v>25</v>
      </c>
      <c r="E408" s="1" t="s">
        <v>26</v>
      </c>
      <c r="F408" s="1">
        <v>314180</v>
      </c>
      <c r="G408" s="1">
        <v>118</v>
      </c>
      <c r="H408" s="1">
        <v>457</v>
      </c>
      <c r="I408" s="1">
        <v>2.82</v>
      </c>
      <c r="J408" s="1">
        <v>140021</v>
      </c>
      <c r="K408" s="1">
        <v>26706</v>
      </c>
      <c r="L408" s="1">
        <v>12.3</v>
      </c>
      <c r="M408" s="1" t="s">
        <v>21</v>
      </c>
      <c r="N408" s="1">
        <v>28.1</v>
      </c>
      <c r="O408" s="1">
        <v>10.3</v>
      </c>
      <c r="P408" s="1">
        <v>2026</v>
      </c>
    </row>
    <row r="409" spans="1:16" x14ac:dyDescent="0.2">
      <c r="A409" s="1" t="s">
        <v>453</v>
      </c>
      <c r="B409" s="1" t="s">
        <v>28</v>
      </c>
      <c r="C409" s="1" t="s">
        <v>29</v>
      </c>
      <c r="D409" s="1" t="s">
        <v>37</v>
      </c>
      <c r="E409" s="1" t="s">
        <v>26</v>
      </c>
      <c r="F409" s="1">
        <v>797995</v>
      </c>
      <c r="G409" s="1">
        <v>115</v>
      </c>
      <c r="H409" s="1">
        <v>273</v>
      </c>
      <c r="I409" s="1">
        <v>2.34</v>
      </c>
      <c r="J409" s="1">
        <v>1055</v>
      </c>
      <c r="K409" s="1">
        <v>48915</v>
      </c>
      <c r="L409" s="1">
        <v>22.2</v>
      </c>
      <c r="M409" s="1" t="s">
        <v>21</v>
      </c>
      <c r="N409" s="1">
        <v>27.9</v>
      </c>
      <c r="O409" s="1">
        <v>172.5</v>
      </c>
      <c r="P409" s="1">
        <v>2026</v>
      </c>
    </row>
    <row r="410" spans="1:16" x14ac:dyDescent="0.2">
      <c r="A410" s="1" t="s">
        <v>454</v>
      </c>
      <c r="B410" s="1" t="s">
        <v>56</v>
      </c>
      <c r="C410" s="1" t="s">
        <v>41</v>
      </c>
      <c r="D410" s="1" t="s">
        <v>25</v>
      </c>
      <c r="E410" s="1" t="s">
        <v>34</v>
      </c>
      <c r="F410" s="1">
        <v>671109</v>
      </c>
      <c r="G410" s="1">
        <v>103</v>
      </c>
      <c r="H410" s="1">
        <v>263</v>
      </c>
      <c r="I410" s="1">
        <v>2.4</v>
      </c>
      <c r="J410" s="1">
        <v>84414</v>
      </c>
      <c r="K410" s="1">
        <v>26390</v>
      </c>
      <c r="L410" s="1">
        <v>15.7</v>
      </c>
      <c r="M410" s="1" t="s">
        <v>35</v>
      </c>
      <c r="N410" s="1">
        <v>6.5</v>
      </c>
      <c r="O410" s="1">
        <v>22.9</v>
      </c>
      <c r="P410" s="1">
        <v>2026</v>
      </c>
    </row>
    <row r="411" spans="1:16" x14ac:dyDescent="0.2">
      <c r="A411" s="1" t="s">
        <v>455</v>
      </c>
      <c r="B411" s="1" t="s">
        <v>17</v>
      </c>
      <c r="C411" s="1" t="s">
        <v>18</v>
      </c>
      <c r="D411" s="1" t="s">
        <v>44</v>
      </c>
      <c r="E411" s="1" t="s">
        <v>38</v>
      </c>
      <c r="F411" s="1">
        <v>516527</v>
      </c>
      <c r="G411" s="1">
        <v>79</v>
      </c>
      <c r="H411" s="1">
        <v>330</v>
      </c>
      <c r="I411" s="1">
        <v>2.91</v>
      </c>
      <c r="J411" s="1">
        <v>157159</v>
      </c>
      <c r="K411" s="1">
        <v>81038</v>
      </c>
      <c r="L411" s="1">
        <v>23.5</v>
      </c>
      <c r="M411" s="1" t="s">
        <v>35</v>
      </c>
      <c r="N411" s="1">
        <v>54.4</v>
      </c>
      <c r="O411" s="1">
        <v>165.6</v>
      </c>
      <c r="P411" s="1">
        <v>2026</v>
      </c>
    </row>
    <row r="412" spans="1:16" ht="27.75" x14ac:dyDescent="0.2">
      <c r="A412" s="1" t="s">
        <v>456</v>
      </c>
      <c r="B412" s="1" t="s">
        <v>50</v>
      </c>
      <c r="C412" s="1" t="s">
        <v>24</v>
      </c>
      <c r="D412" s="1" t="s">
        <v>30</v>
      </c>
      <c r="E412" s="1" t="s">
        <v>34</v>
      </c>
      <c r="F412" s="1">
        <v>647326</v>
      </c>
      <c r="G412" s="1">
        <v>72</v>
      </c>
      <c r="H412" s="1">
        <v>307</v>
      </c>
      <c r="I412" s="1">
        <v>1.17</v>
      </c>
      <c r="J412" s="1">
        <v>46477</v>
      </c>
      <c r="K412" s="1">
        <v>78648</v>
      </c>
      <c r="L412" s="1">
        <v>13.7</v>
      </c>
      <c r="M412" s="1" t="s">
        <v>35</v>
      </c>
      <c r="N412" s="1">
        <v>22.7</v>
      </c>
      <c r="O412" s="1">
        <v>224.6</v>
      </c>
      <c r="P412" s="1">
        <v>2026</v>
      </c>
    </row>
    <row r="413" spans="1:16" x14ac:dyDescent="0.2">
      <c r="A413" s="1" t="s">
        <v>457</v>
      </c>
      <c r="B413" s="1" t="s">
        <v>17</v>
      </c>
      <c r="C413" s="1" t="s">
        <v>18</v>
      </c>
      <c r="D413" s="1" t="s">
        <v>30</v>
      </c>
      <c r="E413" s="1" t="s">
        <v>34</v>
      </c>
      <c r="F413" s="1">
        <v>113325</v>
      </c>
      <c r="G413" s="1">
        <v>79</v>
      </c>
      <c r="H413" s="1">
        <v>381</v>
      </c>
      <c r="I413" s="1">
        <v>1.27</v>
      </c>
      <c r="J413" s="1">
        <v>66260</v>
      </c>
      <c r="K413" s="1">
        <v>68686</v>
      </c>
      <c r="L413" s="1">
        <v>12.4</v>
      </c>
      <c r="M413" s="1" t="s">
        <v>21</v>
      </c>
      <c r="N413" s="1">
        <v>32.200000000000003</v>
      </c>
      <c r="O413" s="1">
        <v>169.5</v>
      </c>
      <c r="P413" s="1">
        <v>2026</v>
      </c>
    </row>
    <row r="414" spans="1:16" x14ac:dyDescent="0.2">
      <c r="A414" s="1" t="s">
        <v>458</v>
      </c>
      <c r="B414" s="1" t="s">
        <v>53</v>
      </c>
      <c r="C414" s="1" t="s">
        <v>41</v>
      </c>
      <c r="D414" s="1" t="s">
        <v>44</v>
      </c>
      <c r="E414" s="1" t="s">
        <v>34</v>
      </c>
      <c r="F414" s="1">
        <v>668615</v>
      </c>
      <c r="G414" s="1">
        <v>71</v>
      </c>
      <c r="H414" s="1">
        <v>560</v>
      </c>
      <c r="I414" s="1">
        <v>1.1100000000000001</v>
      </c>
      <c r="J414" s="1">
        <v>64606</v>
      </c>
      <c r="K414" s="1">
        <v>33069</v>
      </c>
      <c r="L414" s="1">
        <v>13.3</v>
      </c>
      <c r="M414" s="1" t="s">
        <v>35</v>
      </c>
      <c r="N414" s="1">
        <v>63.3</v>
      </c>
      <c r="O414" s="1">
        <v>133.6</v>
      </c>
      <c r="P414" s="1">
        <v>2026</v>
      </c>
    </row>
    <row r="415" spans="1:16" x14ac:dyDescent="0.2">
      <c r="A415" s="1" t="s">
        <v>459</v>
      </c>
      <c r="B415" s="1" t="s">
        <v>43</v>
      </c>
      <c r="C415" s="1" t="s">
        <v>18</v>
      </c>
      <c r="D415" s="1" t="s">
        <v>46</v>
      </c>
      <c r="E415" s="1" t="s">
        <v>38</v>
      </c>
      <c r="F415" s="1">
        <v>553652</v>
      </c>
      <c r="G415" s="1">
        <v>111</v>
      </c>
      <c r="H415" s="1">
        <v>349</v>
      </c>
      <c r="I415" s="1">
        <v>2.3199999999999998</v>
      </c>
      <c r="J415" s="1">
        <v>192602</v>
      </c>
      <c r="K415" s="1">
        <v>32166</v>
      </c>
      <c r="L415" s="1">
        <v>23.8</v>
      </c>
      <c r="M415" s="1" t="s">
        <v>21</v>
      </c>
      <c r="N415" s="1">
        <v>8.4</v>
      </c>
      <c r="O415" s="1">
        <v>290</v>
      </c>
      <c r="P415" s="1">
        <v>2026</v>
      </c>
    </row>
    <row r="416" spans="1:16" ht="27.75" x14ac:dyDescent="0.2">
      <c r="A416" s="1" t="s">
        <v>460</v>
      </c>
      <c r="B416" s="1" t="s">
        <v>50</v>
      </c>
      <c r="C416" s="1" t="s">
        <v>24</v>
      </c>
      <c r="D416" s="1" t="s">
        <v>48</v>
      </c>
      <c r="E416" s="1" t="s">
        <v>34</v>
      </c>
      <c r="F416" s="1">
        <v>398480</v>
      </c>
      <c r="G416" s="1">
        <v>70</v>
      </c>
      <c r="H416" s="1">
        <v>568</v>
      </c>
      <c r="I416" s="1">
        <v>1</v>
      </c>
      <c r="J416" s="1">
        <v>103730</v>
      </c>
      <c r="K416" s="1">
        <v>33149</v>
      </c>
      <c r="L416" s="1">
        <v>23</v>
      </c>
      <c r="M416" s="1" t="s">
        <v>35</v>
      </c>
      <c r="N416" s="1">
        <v>15</v>
      </c>
      <c r="O416" s="1">
        <v>260.10000000000002</v>
      </c>
      <c r="P416" s="1">
        <v>2026</v>
      </c>
    </row>
    <row r="417" spans="1:16" ht="27.75" x14ac:dyDescent="0.2">
      <c r="A417" s="1" t="s">
        <v>461</v>
      </c>
      <c r="B417" s="1" t="s">
        <v>23</v>
      </c>
      <c r="C417" s="1" t="s">
        <v>24</v>
      </c>
      <c r="D417" s="1" t="s">
        <v>48</v>
      </c>
      <c r="E417" s="1" t="s">
        <v>26</v>
      </c>
      <c r="F417" s="1">
        <v>148599</v>
      </c>
      <c r="G417" s="1">
        <v>51</v>
      </c>
      <c r="H417" s="1">
        <v>291</v>
      </c>
      <c r="I417" s="1">
        <v>1.7</v>
      </c>
      <c r="J417" s="1">
        <v>191757</v>
      </c>
      <c r="K417" s="1">
        <v>73288</v>
      </c>
      <c r="L417" s="1">
        <v>22</v>
      </c>
      <c r="M417" s="1" t="s">
        <v>21</v>
      </c>
      <c r="N417" s="1">
        <v>56</v>
      </c>
      <c r="O417" s="1">
        <v>287.3</v>
      </c>
      <c r="P417" s="1">
        <v>2026</v>
      </c>
    </row>
    <row r="418" spans="1:16" x14ac:dyDescent="0.2">
      <c r="A418" s="1" t="s">
        <v>462</v>
      </c>
      <c r="B418" s="1" t="s">
        <v>28</v>
      </c>
      <c r="C418" s="1" t="s">
        <v>29</v>
      </c>
      <c r="D418" s="1" t="s">
        <v>46</v>
      </c>
      <c r="E418" s="1" t="s">
        <v>26</v>
      </c>
      <c r="F418" s="1">
        <v>102675</v>
      </c>
      <c r="G418" s="1">
        <v>60</v>
      </c>
      <c r="H418" s="1">
        <v>334</v>
      </c>
      <c r="I418" s="1">
        <v>1.59</v>
      </c>
      <c r="J418" s="1">
        <v>45931</v>
      </c>
      <c r="K418" s="1">
        <v>71780</v>
      </c>
      <c r="L418" s="1">
        <v>23</v>
      </c>
      <c r="M418" s="1" t="s">
        <v>35</v>
      </c>
      <c r="N418" s="1">
        <v>42</v>
      </c>
      <c r="O418" s="1">
        <v>242.4</v>
      </c>
      <c r="P418" s="1">
        <v>2026</v>
      </c>
    </row>
    <row r="419" spans="1:16" x14ac:dyDescent="0.2">
      <c r="A419" s="1" t="s">
        <v>463</v>
      </c>
      <c r="B419" s="1" t="s">
        <v>40</v>
      </c>
      <c r="C419" s="1" t="s">
        <v>41</v>
      </c>
      <c r="D419" s="1" t="s">
        <v>59</v>
      </c>
      <c r="E419" s="1" t="s">
        <v>26</v>
      </c>
      <c r="F419" s="1">
        <v>24614</v>
      </c>
      <c r="G419" s="1">
        <v>101</v>
      </c>
      <c r="H419" s="1">
        <v>546</v>
      </c>
      <c r="I419" s="1">
        <v>2.91</v>
      </c>
      <c r="J419" s="1">
        <v>165880</v>
      </c>
      <c r="K419" s="1">
        <v>73136</v>
      </c>
      <c r="L419" s="1">
        <v>23</v>
      </c>
      <c r="M419" s="1" t="s">
        <v>21</v>
      </c>
      <c r="N419" s="1">
        <v>63.9</v>
      </c>
      <c r="O419" s="1">
        <v>69.5</v>
      </c>
      <c r="P419" s="1">
        <v>2026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Worksheets</vt:lpstr>
      </vt:variant>
      <vt:variant>
        <vt:i4>4</vt:i4>
      </vt:variant>
    </vt:vector>
  </HeadingPairs>
  <TitlesOfParts>
    <vt:vector size="4" baseType="lpstr">
      <vt:lpstr>SalesData</vt:lpstr>
      <vt:lpstr>Sales (Brand)</vt:lpstr>
      <vt:lpstr>Ranking</vt:lpstr>
      <vt:lpstr>Main_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Kanwal Kaler</dc:creator>
  <dcterms:created xsi:type="dcterms:W3CDTF">2026-03-16T16:03:01Z</dcterms:created>
</cp:coreProperties>
</file>